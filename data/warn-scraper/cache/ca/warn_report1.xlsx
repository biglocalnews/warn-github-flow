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0" documentId="8_{44EDF889-ABD7-4825-A4AB-44908F0B6CE5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<sst xmlns="http://schemas.openxmlformats.org/spreadsheetml/2006/main" count="331" uniqueCount="178">
  <si>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</si>
  <si>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</si>
  <si>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</si>
  <si>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</si>
  <si>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</si>
  <si>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</si>
  <si>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</si>
  <si>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</si>
  <si>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</si>
  <si>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</si>
  <si>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</si>
  <si>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</si>
  <si>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</si>
  <si>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</si>
  <si>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</si>
  <si>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</si>
  <si>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</si>
  <si>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</si>
  <si>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</si>
  <si>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</si>
  <si>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</si>
  <si>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</si>
  <si>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</si>
  <si>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</si>
  <si>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</si>
  <si>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</si>
  <si>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</si>
  <si>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</si>
  <si>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</si>
  <si>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</si>
  <si>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</si>
  <si>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</si>
  <si>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</si>
  <si>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</si>
  <si>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</si>
  <si>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</si>
  <si>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</si>
  <si>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</si>
  <si>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</si>
  <si>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</si>
  <si>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</si>
  <si>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</si>
  <si>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</si>
  <si>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</si>
  <si>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</si>
  <si>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</si>
  <si>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</si>
  <si>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</si>
  <si>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</si>
  <si>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</si>
  <si>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</si>
  <si>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</si>
  <si>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Closure Permanent</t>
  </si>
  <si>
    <t>Orange County</t>
  </si>
  <si>
    <t>San Bernardino County</t>
  </si>
  <si>
    <t>San Mateo County</t>
  </si>
  <si>
    <t>Sacramento County</t>
  </si>
  <si>
    <t>Contra Costa County</t>
  </si>
  <si>
    <t>Genentech, Inc.</t>
  </si>
  <si>
    <t>1 DNA Way  South San Francisco CA 94080</t>
  </si>
  <si>
    <t>Chevron</t>
  </si>
  <si>
    <t>5001 Executive Parkway, Suite 200  San Ramon CA 94583</t>
  </si>
  <si>
    <t>Blue Diamond Growers</t>
  </si>
  <si>
    <t>1802 C Street  Sacramento CA 95811</t>
  </si>
  <si>
    <t>DHL Supply Chain</t>
  </si>
  <si>
    <t>McDonald's Corporation</t>
  </si>
  <si>
    <t>17030 Green Drive  City of Industry CA 91745</t>
  </si>
  <si>
    <t>Athwal FDS Corporation</t>
  </si>
  <si>
    <t>932 West Mill Street  San Bernardino CA 92410</t>
  </si>
  <si>
    <t>Kingdom Animalia, LLC (Hourglass Cosmetics)</t>
  </si>
  <si>
    <t>17110 South Main Street  Carson CA 90248</t>
  </si>
  <si>
    <t>701A Sally Pl  Fullerton CA 92831</t>
  </si>
  <si>
    <t>Obsidian</t>
  </si>
  <si>
    <t>100 Spectrum Center Dr.  Irvine CA 92618</t>
  </si>
  <si>
    <t>LeeMAH Electronics</t>
  </si>
  <si>
    <t>155 South Hill Drive  Brisbane CA 94005</t>
  </si>
  <si>
    <t>Alameda County</t>
  </si>
  <si>
    <t>Xpress Delivery LLC (DSJ9)</t>
  </si>
  <si>
    <t>5800 Coliseum Way  Oakland CA 94621</t>
  </si>
  <si>
    <t>San Francisco County</t>
  </si>
  <si>
    <t>OnPoint Logistics LLC</t>
  </si>
  <si>
    <t>749 Toland Street  San Francisco CA 94124</t>
  </si>
  <si>
    <t>Butte County</t>
  </si>
  <si>
    <t>6th Street Center for Youth (Youth for Change)</t>
  </si>
  <si>
    <t>130 W. 6th Street  Chico CA 95928</t>
  </si>
  <si>
    <t>Sentinel Restaurant &amp; Hospitality Group LLC</t>
  </si>
  <si>
    <t>627 Sleepy Hollow Ln  Laguna Beach CA 92651</t>
  </si>
  <si>
    <t>The Vons Companies Inc.</t>
  </si>
  <si>
    <t>845 E. California St.  Pasadena CA 91106</t>
  </si>
  <si>
    <t>GEODIS</t>
  </si>
  <si>
    <t>1950 Palmetto Ave.  Redlands CA 92374</t>
  </si>
  <si>
    <t>Conduent</t>
  </si>
  <si>
    <t>11165 Knott Avenue, Suite D  Cypress CA 90630</t>
  </si>
  <si>
    <t>GMRI, Inc. dba Yard House</t>
  </si>
  <si>
    <t>1875 Newport Blvd., A219  Costa Mesa CA 92627</t>
  </si>
  <si>
    <t>GXO Logistics Worldwide, LLC</t>
  </si>
  <si>
    <t>7010 Cajon Blvd.  San Bernardino CA 92407</t>
  </si>
  <si>
    <t>Udemy, Inc.</t>
  </si>
  <si>
    <t>600 Harrison Street, 3rd Floor  San Francisco CA 94107</t>
  </si>
  <si>
    <t>Yolo County</t>
  </si>
  <si>
    <t>AWCS, LLC (Cottonwood Post-Acute Rehab</t>
  </si>
  <si>
    <t>Closure Temporary</t>
  </si>
  <si>
    <t>625 Cottonwood St.  Woodland CA 95695</t>
  </si>
  <si>
    <t>Santa Clara County</t>
  </si>
  <si>
    <t>Coursera, Inc.</t>
  </si>
  <si>
    <t>2440West El Camino Real, Suite 500  Mountain View CA 94040</t>
  </si>
  <si>
    <t>ELC Beauty LLC (Too Faced Cosmetics, LLC)</t>
  </si>
  <si>
    <t>18231 W. McDurmott #100  Irvine CA 92614</t>
  </si>
  <si>
    <t>Eargo, Inc.</t>
  </si>
  <si>
    <t>2665 North First Street, Suite 3000  San Jose CA 95134</t>
  </si>
  <si>
    <t>Santa Barbara County</t>
  </si>
  <si>
    <t>Red Lobster Restaurants LLC</t>
  </si>
  <si>
    <t>1525 S. Bradley Road  Santa Maria CA 93454</t>
  </si>
  <si>
    <t>Phillips 66</t>
  </si>
  <si>
    <t>1660 W. Anaheim Street  Wilmington CA 90744</t>
  </si>
  <si>
    <t>NBCUniversal Media, LLC - 1320</t>
  </si>
  <si>
    <t>100 Universal City Plaza, Bldg. 1320  Universal City CA 91608</t>
  </si>
  <si>
    <t>NBCUniversal Media, LLC - 1360</t>
  </si>
  <si>
    <t>100 Universal City Plaza, Bldg. 1360  Universal City CA 91608</t>
  </si>
  <si>
    <t>NBCUniversal Media, LLC -1440</t>
  </si>
  <si>
    <t>100 Universal City Plaza, Bldg. 1440  Universal City CA 91608</t>
  </si>
  <si>
    <t>NBCUniversal Media, LLC - 1460</t>
  </si>
  <si>
    <t>100 Universal City Plaza, Bldg. 1460  Universal City CA 91608</t>
  </si>
  <si>
    <t>Aramark Campus, LLC</t>
  </si>
  <si>
    <t>1259 E Colton Avenue  Redlands CA 92374</t>
  </si>
  <si>
    <t>Monterey Mushrooms, LLC</t>
  </si>
  <si>
    <t>642 Hale Ave.  Morgan Hill CA 95037</t>
  </si>
  <si>
    <t>Tulare County</t>
  </si>
  <si>
    <t>Ventura Coastal</t>
  </si>
  <si>
    <t>Layoff Temporary</t>
  </si>
  <si>
    <t>531 W. Poplar Avenue  Tipton CA 93272</t>
  </si>
  <si>
    <t>Magic Leap, Inc.</t>
  </si>
  <si>
    <t>1376 Bordeaux Dr.  Sunnyvale CA 94089</t>
  </si>
  <si>
    <t>Wind &amp; Sea Restaurant</t>
  </si>
  <si>
    <t>34699 Golden Lantern  Dana Point CA 92629</t>
  </si>
  <si>
    <t>Solano County</t>
  </si>
  <si>
    <t>DesigneRX Pharmaceuticals, Inc.</t>
  </si>
  <si>
    <t>4941 Allison Parkway, Suite B  Vacaville CA 95688</t>
  </si>
  <si>
    <t>Sonoma County</t>
  </si>
  <si>
    <t>Queen City Staffing</t>
  </si>
  <si>
    <t>2717 Giffen Avenue  Santa Rosa CA 95407</t>
  </si>
  <si>
    <t>New Leaf Community Markets, Inc.</t>
  </si>
  <si>
    <t>5667 Silver Creek Valley Road  San Jose CA 95138</t>
  </si>
  <si>
    <t>Pixar</t>
  </si>
  <si>
    <t>1200 Park Avenue  Emeryville CA 94608</t>
  </si>
  <si>
    <t>CraftForce Services, Inc. (2330 Circadian Way)</t>
  </si>
  <si>
    <t>2330 Circadian Way  Santa Rosa CA 95407</t>
  </si>
  <si>
    <t>CraftForce Services, Inc. (2753 Giffen Avenue)</t>
  </si>
  <si>
    <t>2753 Giffen Avenue  Santa Rosa CA 95407</t>
  </si>
  <si>
    <t>Imperial County</t>
  </si>
  <si>
    <t>Fortrex</t>
  </si>
  <si>
    <t>57 Shank Road  Brawley CA 92227</t>
  </si>
  <si>
    <t>Uber Technologies, Inc. (1655 3rd Street)</t>
  </si>
  <si>
    <t>1655 3rd Street  San Francisco CA 94158</t>
  </si>
  <si>
    <t>Uber Technologies, Inc. (1725 3rd St.)</t>
  </si>
  <si>
    <t>1725 3rd St.  San Francisco CA 94158</t>
  </si>
  <si>
    <t>Uber Technologies, Inc. (Remote)</t>
  </si>
  <si>
    <t>1655 3rd Street (Remote)  San Francisco CA 94158</t>
  </si>
  <si>
    <t>Chick-fil-A &amp; Fig</t>
  </si>
  <si>
    <t>660 S Figueroa St., Ste. 100  Los Angeles CA 90017</t>
  </si>
  <si>
    <t>Monterey County</t>
  </si>
  <si>
    <t>PD Systems</t>
  </si>
  <si>
    <t>Fort Hunter Liggett, Building 3360 Hunter Liggett Road Jolon CA 93928</t>
  </si>
  <si>
    <t>Intel Corporation - Robert Noyce Building</t>
  </si>
  <si>
    <t>2200 Mission College Blvd  Santa Clara CA 95054</t>
  </si>
  <si>
    <t>Intel Corporation - SC-9</t>
  </si>
  <si>
    <t>3601 Juliette Lane  Santa Clara CA 95054</t>
  </si>
  <si>
    <t>Intel Corporation - SC11</t>
  </si>
  <si>
    <t>2191 Laurelwood Rd.  Santa Clara CA 95054</t>
  </si>
  <si>
    <t>Intel Corporation - SC-12</t>
  </si>
  <si>
    <t>3600 Juliette Lane  Santa Clara CA 95054</t>
  </si>
  <si>
    <t>Stanislaus County</t>
  </si>
  <si>
    <t>O'Brien's Market Inc.</t>
  </si>
  <si>
    <t>839 W. Roseburg Avenue  Modesto CA 95350</t>
  </si>
  <si>
    <t>O'Briens Market Inc.</t>
  </si>
  <si>
    <t>4120 Dale Road  Modesto CA 95356</t>
  </si>
  <si>
    <r>
      <t xml:space="preserve">WARN REPORT - </t>
    </r>
    <r>
      <rPr>
        <b/>
        <sz val="12"/>
        <rFont val="Calibri"/>
        <family val="2"/>
        <scheme val="minor"/>
      </rPr>
      <t>07/01/26 to 07/27/2026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I54.</t>
    </r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</si>
  <si>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01/01/2023 - 07/28/2026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</si>
</sst>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1" fillId="0" borderId="0" xfId="0" applyFont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4" borderId="2" xfId="0" applyNumberFormat="1" applyFont="1" applyFill="1" applyBorder="1" applyAlignment="1">
      <alignment horizontal="left" vertical="top" wrapText="1" readingOrder="1"/>
    </xf>
    <xf numFmtId="166" fontId="14" fillId="4" borderId="8" xfId="0" applyNumberFormat="1" applyFont="1" applyFill="1" applyBorder="1" applyAlignment="1">
      <alignment vertical="top" wrapText="1" readingOrder="1"/>
    </xf>
    <xf numFmtId="0" fontId="14" fillId="4" borderId="8" xfId="0" applyFont="1" applyFill="1" applyBorder="1" applyAlignment="1">
      <alignment vertical="top" wrapText="1" readingOrder="1"/>
    </xf>
    <xf numFmtId="164" fontId="14" fillId="4" borderId="8" xfId="0" applyNumberFormat="1" applyFont="1" applyFill="1" applyBorder="1" applyAlignment="1">
      <alignment vertical="top" wrapText="1" readingOrder="1"/>
    </xf>
    <xf numFmtId="166" fontId="14" fillId="3" borderId="2" xfId="0" applyNumberFormat="1" applyFont="1" applyFill="1" applyBorder="1" applyAlignment="1">
      <alignment horizontal="left" vertical="top" wrapText="1" readingOrder="1"/>
    </xf>
    <xf numFmtId="166" fontId="14" fillId="3" borderId="8" xfId="0" applyNumberFormat="1" applyFont="1" applyFill="1" applyBorder="1" applyAlignment="1">
      <alignment vertical="top" wrapText="1" readingOrder="1"/>
    </xf>
    <xf numFmtId="0" fontId="14" fillId="3" borderId="8" xfId="0" applyFont="1" applyFill="1" applyBorder="1" applyAlignment="1">
      <alignment vertical="top" wrapText="1" readingOrder="1"/>
    </xf>
    <xf numFmtId="164" fontId="14" fillId="3" borderId="8" xfId="0" applyNumberFormat="1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54" totalsRowShown="0" headerRowDxfId="31" dataDxfId="30">
  <autoFilter ref="A2:I54" xr:uid="{1F69E8FD-21FF-4B81-951D-D7EC70F8E5F9}"/>
  <sortState xmlns:xlrd2="http://schemas.microsoft.com/office/spreadsheetml/2017/richdata2" ref="A3:I42">
    <sortCondition ref="C2:C42"/>
  </sortState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10" t="s">
        <v>28</v>
      </c>
    </row>
    <row r="2" spans="1:1" ht="21" x14ac:dyDescent="0.35">
      <c r="A2" s="12" t="s">
        <v>20</v>
      </c>
    </row>
    <row r="3" spans="1:1" x14ac:dyDescent="0.25">
      <c r="A3" s="13" t="s">
        <v>18</v>
      </c>
    </row>
    <row r="4" spans="1:1" x14ac:dyDescent="0.25">
      <c r="A4" s="13" t="s">
        <v>19</v>
      </c>
    </row>
    <row r="5" spans="1:1" x14ac:dyDescent="0.25">
      <c r="A5" s="13" t="s">
        <v>23</v>
      </c>
    </row>
    <row r="6" spans="1:1" x14ac:dyDescent="0.2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 x14ac:dyDescent="0.25"/>
  <cols>
    <col min="1" max="1" width="29.7109375" style="3" bestFit="1" customWidth="1"/>
    <col min="2" max="2" width="5.5703125" style="3" bestFit="1" customWidth="1"/>
  </cols>
  <sheetData>
    <row r="1" spans="1:2" ht="78.75" x14ac:dyDescent="0.25">
      <c r="A1" s="10" t="s">
        <v>21</v>
      </c>
    </row>
    <row r="2" spans="1:2" x14ac:dyDescent="0.25">
      <c r="A2" s="14" t="s">
        <v>16</v>
      </c>
      <c r="B2" s="15" t="s">
        <v>15</v>
      </c>
    </row>
    <row r="3" spans="1:2" x14ac:dyDescent="0.25">
      <c r="A3" s="2" t="s">
        <v>17</v>
      </c>
      <c r="B3" s="11">
        <f>SUM('Detailed WARN Report '!G:G)</f>
        <v>3297</v>
      </c>
    </row>
    <row r="4" spans="1:2" x14ac:dyDescent="0.25">
      <c r="A4" s="2" t="s">
        <v>9</v>
      </c>
      <c r="B4" s="11">
        <f>COUNTIF('Detailed WARN Report '!F:F,"Layoff Permanent")</f>
        <v>25</v>
      </c>
    </row>
    <row r="5" spans="1:2" x14ac:dyDescent="0.25">
      <c r="A5" s="2" t="s">
        <v>10</v>
      </c>
      <c r="B5" s="11">
        <f>COUNTIF('Detailed WARN Report '!F:F,"Layoff Temporary")</f>
        <v>2</v>
      </c>
    </row>
    <row r="6" spans="1:2" x14ac:dyDescent="0.25">
      <c r="A6" s="2" t="s">
        <v>11</v>
      </c>
      <c r="B6" s="11">
        <f>COUNTIF('Detailed WARN Report '!F:F,"Layoff Not known at this time")</f>
        <v>0</v>
      </c>
    </row>
    <row r="7" spans="1:2" x14ac:dyDescent="0.25">
      <c r="A7" s="2" t="s">
        <v>12</v>
      </c>
      <c r="B7" s="11">
        <f>COUNTIF('Detailed WARN Report '!F:F,"Closure Permanent")</f>
        <v>24</v>
      </c>
    </row>
    <row r="8" spans="1:2" x14ac:dyDescent="0.25">
      <c r="A8" s="2" t="s">
        <v>13</v>
      </c>
      <c r="B8" s="11">
        <f>COUNTIF('Detailed WARN Report '!F:F,"Closure Temporary")</f>
        <v>1</v>
      </c>
    </row>
    <row r="9" spans="1:2" x14ac:dyDescent="0.25">
      <c r="A9" s="2" t="s">
        <v>14</v>
      </c>
      <c r="B9" s="11">
        <f>COUNTIF('Detailed WARN Report '!F:F,"Closure Not known at this time")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54"/>
  <sheetViews>
    <sheetView zoomScaleNormal="100" workbookViewId="0"/>
  </sheetViews>
  <sheetFormatPr defaultColWidth="161.42578125" defaultRowHeight="15" x14ac:dyDescent="0.25"/>
  <cols>
    <col min="1" max="1" width="29" style="3" bestFit="1" customWidth="1"/>
    <col min="2" max="2" width="8.7109375" style="8" bestFit="1" customWidth="1"/>
    <col min="3" max="3" width="12.140625" style="8" bestFit="1" customWidth="1"/>
    <col min="4" max="4" width="10.28515625" style="8" bestFit="1" customWidth="1"/>
    <col min="5" max="5" width="34.7109375" style="10" bestFit="1" customWidth="1"/>
    <col min="6" max="6" width="14.28515625" style="3" bestFit="1" customWidth="1"/>
    <col min="7" max="7" width="12.140625" style="3" bestFit="1" customWidth="1"/>
    <col min="8" max="8" width="50.42578125" style="3" bestFit="1" customWidth="1"/>
    <col min="9" max="9" width="51.85546875" style="3" bestFit="1" customWidth="1"/>
    <col min="10" max="10" width="22.5703125" customWidth="1"/>
    <col min="11" max="11" width="13.140625" customWidth="1"/>
    <col min="12" max="12" width="12.7109375" customWidth="1"/>
    <col min="13" max="13" width="11.85546875" customWidth="1"/>
    <col min="14" max="14" width="15" customWidth="1"/>
  </cols>
  <sheetData>
    <row r="1" spans="1:9" ht="102" x14ac:dyDescent="0.25">
      <c r="A1" s="16" t="s">
        <v>176</v>
      </c>
      <c r="E1" s="3"/>
    </row>
    <row r="2" spans="1:9" ht="24.75" x14ac:dyDescent="0.25">
      <c r="A2" s="26" t="s">
        <v>0</v>
      </c>
      <c r="B2" s="27" t="s">
        <v>7</v>
      </c>
      <c r="C2" s="27" t="s">
        <v>22</v>
      </c>
      <c r="D2" s="27" t="s">
        <v>8</v>
      </c>
      <c r="E2" s="26" t="s">
        <v>1</v>
      </c>
      <c r="F2" s="26" t="s">
        <v>2</v>
      </c>
      <c r="G2" s="26" t="s">
        <v>3</v>
      </c>
      <c r="H2" s="26" t="s">
        <v>4</v>
      </c>
      <c r="I2" s="26" t="s">
        <v>29</v>
      </c>
    </row>
    <row r="3" spans="1:9" x14ac:dyDescent="0.25">
      <c r="A3" s="28" t="s">
        <v>5</v>
      </c>
      <c r="B3" s="29">
        <v>46203</v>
      </c>
      <c r="C3" s="29">
        <v>46204</v>
      </c>
      <c r="D3" s="29">
        <v>46266</v>
      </c>
      <c r="E3" s="28" t="s">
        <v>65</v>
      </c>
      <c r="F3" s="28" t="s">
        <v>52</v>
      </c>
      <c r="G3" s="30">
        <v>2</v>
      </c>
      <c r="H3" s="28" t="s">
        <v>66</v>
      </c>
      <c r="I3" s="31" t="s">
        <v>47</v>
      </c>
    </row>
    <row r="4" spans="1:9" x14ac:dyDescent="0.25">
      <c r="A4" s="28" t="s">
        <v>55</v>
      </c>
      <c r="B4" s="29">
        <v>46199</v>
      </c>
      <c r="C4" s="29">
        <v>46204</v>
      </c>
      <c r="D4" s="29">
        <v>46232</v>
      </c>
      <c r="E4" s="28" t="s">
        <v>58</v>
      </c>
      <c r="F4" s="28" t="s">
        <v>6</v>
      </c>
      <c r="G4" s="30">
        <v>103</v>
      </c>
      <c r="H4" s="28" t="s">
        <v>59</v>
      </c>
      <c r="I4" s="31" t="s">
        <v>41</v>
      </c>
    </row>
    <row r="5" spans="1:9" x14ac:dyDescent="0.25">
      <c r="A5" s="28" t="s">
        <v>54</v>
      </c>
      <c r="B5" s="29">
        <v>46203</v>
      </c>
      <c r="C5" s="29">
        <v>46204</v>
      </c>
      <c r="D5" s="29">
        <v>46264</v>
      </c>
      <c r="E5" s="28" t="s">
        <v>67</v>
      </c>
      <c r="F5" s="28" t="s">
        <v>6</v>
      </c>
      <c r="G5" s="30">
        <v>35</v>
      </c>
      <c r="H5" s="28" t="s">
        <v>68</v>
      </c>
      <c r="I5" s="31" t="s">
        <v>43</v>
      </c>
    </row>
    <row r="6" spans="1:9" x14ac:dyDescent="0.25">
      <c r="A6" s="28" t="s">
        <v>56</v>
      </c>
      <c r="B6" s="29">
        <v>46205</v>
      </c>
      <c r="C6" s="29">
        <v>46205</v>
      </c>
      <c r="D6" s="29">
        <v>46269</v>
      </c>
      <c r="E6" s="28" t="s">
        <v>62</v>
      </c>
      <c r="F6" s="28" t="s">
        <v>52</v>
      </c>
      <c r="G6" s="30">
        <v>31</v>
      </c>
      <c r="H6" s="28" t="s">
        <v>63</v>
      </c>
      <c r="I6" s="31" t="s">
        <v>34</v>
      </c>
    </row>
    <row r="7" spans="1:9" x14ac:dyDescent="0.25">
      <c r="A7" s="28" t="s">
        <v>5</v>
      </c>
      <c r="B7" s="29">
        <v>46205</v>
      </c>
      <c r="C7" s="29">
        <v>46205</v>
      </c>
      <c r="D7" s="29">
        <v>46280</v>
      </c>
      <c r="E7" s="28" t="s">
        <v>69</v>
      </c>
      <c r="F7" s="28" t="s">
        <v>52</v>
      </c>
      <c r="G7" s="30">
        <v>7</v>
      </c>
      <c r="H7" s="28" t="s">
        <v>70</v>
      </c>
      <c r="I7" s="31" t="s">
        <v>35</v>
      </c>
    </row>
    <row r="8" spans="1:9" x14ac:dyDescent="0.25">
      <c r="A8" s="28" t="s">
        <v>53</v>
      </c>
      <c r="B8" s="29">
        <v>46205</v>
      </c>
      <c r="C8" s="29">
        <v>46210</v>
      </c>
      <c r="D8" s="29">
        <v>46268</v>
      </c>
      <c r="E8" s="28" t="s">
        <v>64</v>
      </c>
      <c r="F8" s="28" t="s">
        <v>52</v>
      </c>
      <c r="G8" s="30">
        <v>33</v>
      </c>
      <c r="H8" s="28" t="s">
        <v>71</v>
      </c>
      <c r="I8" s="31" t="s">
        <v>37</v>
      </c>
    </row>
    <row r="9" spans="1:9" x14ac:dyDescent="0.25">
      <c r="A9" s="28" t="s">
        <v>53</v>
      </c>
      <c r="B9" s="29">
        <v>46209</v>
      </c>
      <c r="C9" s="29">
        <v>46210</v>
      </c>
      <c r="D9" s="29">
        <v>46269</v>
      </c>
      <c r="E9" s="28" t="s">
        <v>72</v>
      </c>
      <c r="F9" s="28" t="s">
        <v>6</v>
      </c>
      <c r="G9" s="30">
        <v>52</v>
      </c>
      <c r="H9" s="28" t="s">
        <v>73</v>
      </c>
      <c r="I9" s="31" t="s">
        <v>46</v>
      </c>
    </row>
    <row r="10" spans="1:9" x14ac:dyDescent="0.25">
      <c r="A10" s="28" t="s">
        <v>57</v>
      </c>
      <c r="B10" s="29">
        <v>46204</v>
      </c>
      <c r="C10" s="29">
        <v>46211</v>
      </c>
      <c r="D10" s="29">
        <v>46266</v>
      </c>
      <c r="E10" s="28" t="s">
        <v>60</v>
      </c>
      <c r="F10" s="28" t="s">
        <v>6</v>
      </c>
      <c r="G10" s="30">
        <v>180</v>
      </c>
      <c r="H10" s="28" t="s">
        <v>61</v>
      </c>
      <c r="I10" s="31" t="s">
        <v>31</v>
      </c>
    </row>
    <row r="11" spans="1:9" x14ac:dyDescent="0.25">
      <c r="A11" s="28" t="s">
        <v>55</v>
      </c>
      <c r="B11" s="29">
        <v>46210</v>
      </c>
      <c r="C11" s="29">
        <v>46211</v>
      </c>
      <c r="D11" s="29">
        <v>46273</v>
      </c>
      <c r="E11" s="28" t="s">
        <v>74</v>
      </c>
      <c r="F11" s="28" t="s">
        <v>52</v>
      </c>
      <c r="G11" s="30">
        <v>212</v>
      </c>
      <c r="H11" s="28" t="s">
        <v>75</v>
      </c>
      <c r="I11" s="31" t="s">
        <v>34</v>
      </c>
    </row>
    <row r="12" spans="1:9" x14ac:dyDescent="0.25">
      <c r="A12" s="28" t="s">
        <v>76</v>
      </c>
      <c r="B12" s="29">
        <v>46212</v>
      </c>
      <c r="C12" s="29">
        <v>46212</v>
      </c>
      <c r="D12" s="29">
        <v>46274</v>
      </c>
      <c r="E12" s="28" t="s">
        <v>77</v>
      </c>
      <c r="F12" s="28" t="s">
        <v>52</v>
      </c>
      <c r="G12" s="30">
        <v>80</v>
      </c>
      <c r="H12" s="30" t="s">
        <v>78</v>
      </c>
      <c r="I12" s="32" t="s">
        <v>37</v>
      </c>
    </row>
    <row r="13" spans="1:9" x14ac:dyDescent="0.25">
      <c r="A13" s="28" t="s">
        <v>79</v>
      </c>
      <c r="B13" s="29">
        <v>46212</v>
      </c>
      <c r="C13" s="29">
        <v>46212</v>
      </c>
      <c r="D13" s="29">
        <v>46272</v>
      </c>
      <c r="E13" s="28" t="s">
        <v>80</v>
      </c>
      <c r="F13" s="28" t="s">
        <v>52</v>
      </c>
      <c r="G13" s="30">
        <v>96</v>
      </c>
      <c r="H13" s="30" t="s">
        <v>81</v>
      </c>
      <c r="I13" s="32" t="s">
        <v>37</v>
      </c>
    </row>
    <row r="14" spans="1:9" x14ac:dyDescent="0.25">
      <c r="A14" s="28" t="s">
        <v>82</v>
      </c>
      <c r="B14" s="29">
        <v>46213</v>
      </c>
      <c r="C14" s="29">
        <v>46213</v>
      </c>
      <c r="D14" s="29">
        <v>46265</v>
      </c>
      <c r="E14" s="28" t="s">
        <v>83</v>
      </c>
      <c r="F14" s="28" t="s">
        <v>52</v>
      </c>
      <c r="G14" s="30">
        <v>6</v>
      </c>
      <c r="H14" s="30" t="s">
        <v>84</v>
      </c>
      <c r="I14" s="32" t="s">
        <v>45</v>
      </c>
    </row>
    <row r="15" spans="1:9" x14ac:dyDescent="0.25">
      <c r="A15" s="28" t="s">
        <v>53</v>
      </c>
      <c r="B15" s="29">
        <v>46211</v>
      </c>
      <c r="C15" s="29">
        <v>46213</v>
      </c>
      <c r="D15" s="29">
        <v>46273</v>
      </c>
      <c r="E15" s="28" t="s">
        <v>85</v>
      </c>
      <c r="F15" s="28" t="s">
        <v>52</v>
      </c>
      <c r="G15" s="30">
        <v>113</v>
      </c>
      <c r="H15" s="30" t="s">
        <v>86</v>
      </c>
      <c r="I15" s="32" t="s">
        <v>47</v>
      </c>
    </row>
    <row r="16" spans="1:9" x14ac:dyDescent="0.25">
      <c r="A16" s="28" t="s">
        <v>5</v>
      </c>
      <c r="B16" s="29">
        <v>46210</v>
      </c>
      <c r="C16" s="29">
        <v>46216</v>
      </c>
      <c r="D16" s="29">
        <v>46270</v>
      </c>
      <c r="E16" s="28" t="s">
        <v>87</v>
      </c>
      <c r="F16" s="28" t="s">
        <v>52</v>
      </c>
      <c r="G16" s="30">
        <v>55</v>
      </c>
      <c r="H16" s="30" t="s">
        <v>88</v>
      </c>
      <c r="I16" s="32" t="s">
        <v>36</v>
      </c>
    </row>
    <row r="17" spans="1:9" x14ac:dyDescent="0.25">
      <c r="A17" s="28" t="s">
        <v>54</v>
      </c>
      <c r="B17" s="29">
        <v>46209</v>
      </c>
      <c r="C17" s="29">
        <v>46216</v>
      </c>
      <c r="D17" s="29">
        <v>46268</v>
      </c>
      <c r="E17" s="28" t="s">
        <v>89</v>
      </c>
      <c r="F17" s="28" t="s">
        <v>52</v>
      </c>
      <c r="G17" s="30">
        <v>81</v>
      </c>
      <c r="H17" s="30" t="s">
        <v>90</v>
      </c>
      <c r="I17" s="32" t="s">
        <v>37</v>
      </c>
    </row>
    <row r="18" spans="1:9" x14ac:dyDescent="0.25">
      <c r="A18" s="28" t="s">
        <v>53</v>
      </c>
      <c r="B18" s="29">
        <v>46199</v>
      </c>
      <c r="C18" s="29">
        <v>46217</v>
      </c>
      <c r="D18" s="29">
        <v>46262</v>
      </c>
      <c r="E18" s="28" t="s">
        <v>91</v>
      </c>
      <c r="F18" s="28" t="s">
        <v>6</v>
      </c>
      <c r="G18" s="30">
        <v>51</v>
      </c>
      <c r="H18" s="30" t="s">
        <v>92</v>
      </c>
      <c r="I18" s="32" t="s">
        <v>41</v>
      </c>
    </row>
    <row r="19" spans="1:9" x14ac:dyDescent="0.25">
      <c r="A19" s="28" t="s">
        <v>53</v>
      </c>
      <c r="B19" s="29">
        <v>46217</v>
      </c>
      <c r="C19" s="29">
        <v>46217</v>
      </c>
      <c r="D19" s="29">
        <v>46279</v>
      </c>
      <c r="E19" s="28" t="s">
        <v>93</v>
      </c>
      <c r="F19" s="28" t="s">
        <v>52</v>
      </c>
      <c r="G19" s="30">
        <v>78</v>
      </c>
      <c r="H19" s="30" t="s">
        <v>94</v>
      </c>
      <c r="I19" s="32" t="s">
        <v>47</v>
      </c>
    </row>
    <row r="20" spans="1:9" x14ac:dyDescent="0.25">
      <c r="A20" s="28" t="s">
        <v>54</v>
      </c>
      <c r="B20" s="29">
        <v>46213</v>
      </c>
      <c r="C20" s="29">
        <v>46217</v>
      </c>
      <c r="D20" s="29">
        <v>46283</v>
      </c>
      <c r="E20" s="28" t="s">
        <v>95</v>
      </c>
      <c r="F20" s="28" t="s">
        <v>52</v>
      </c>
      <c r="G20" s="30">
        <v>46</v>
      </c>
      <c r="H20" s="30" t="s">
        <v>96</v>
      </c>
      <c r="I20" s="32" t="s">
        <v>37</v>
      </c>
    </row>
    <row r="21" spans="1:9" x14ac:dyDescent="0.25">
      <c r="A21" s="28" t="s">
        <v>79</v>
      </c>
      <c r="B21" s="29">
        <v>46217</v>
      </c>
      <c r="C21" s="29">
        <v>46217</v>
      </c>
      <c r="D21" s="29">
        <v>46276</v>
      </c>
      <c r="E21" s="28" t="s">
        <v>97</v>
      </c>
      <c r="F21" s="28" t="s">
        <v>6</v>
      </c>
      <c r="G21" s="30">
        <v>28</v>
      </c>
      <c r="H21" s="30" t="s">
        <v>98</v>
      </c>
      <c r="I21" s="32" t="s">
        <v>44</v>
      </c>
    </row>
    <row r="22" spans="1:9" x14ac:dyDescent="0.25">
      <c r="A22" s="28" t="s">
        <v>99</v>
      </c>
      <c r="B22" s="29">
        <v>46216</v>
      </c>
      <c r="C22" s="29">
        <v>46217</v>
      </c>
      <c r="D22" s="29">
        <v>46276</v>
      </c>
      <c r="E22" s="28" t="s">
        <v>100</v>
      </c>
      <c r="F22" s="28" t="s">
        <v>101</v>
      </c>
      <c r="G22" s="30">
        <v>158</v>
      </c>
      <c r="H22" s="30" t="s">
        <v>102</v>
      </c>
      <c r="I22" s="32" t="s">
        <v>45</v>
      </c>
    </row>
    <row r="23" spans="1:9" x14ac:dyDescent="0.25">
      <c r="A23" s="28" t="s">
        <v>103</v>
      </c>
      <c r="B23" s="29">
        <v>46217</v>
      </c>
      <c r="C23" s="29">
        <v>46218</v>
      </c>
      <c r="D23" s="29">
        <v>46276</v>
      </c>
      <c r="E23" s="28" t="s">
        <v>104</v>
      </c>
      <c r="F23" s="28" t="s">
        <v>6</v>
      </c>
      <c r="G23" s="30">
        <v>31</v>
      </c>
      <c r="H23" s="30" t="s">
        <v>105</v>
      </c>
      <c r="I23" s="32" t="s">
        <v>41</v>
      </c>
    </row>
    <row r="24" spans="1:9" x14ac:dyDescent="0.25">
      <c r="A24" s="28" t="s">
        <v>53</v>
      </c>
      <c r="B24" s="29">
        <v>46217</v>
      </c>
      <c r="C24" s="29">
        <v>46218</v>
      </c>
      <c r="D24" s="29">
        <v>46295</v>
      </c>
      <c r="E24" s="28" t="s">
        <v>106</v>
      </c>
      <c r="F24" s="28" t="s">
        <v>52</v>
      </c>
      <c r="G24" s="30">
        <v>67</v>
      </c>
      <c r="H24" s="30" t="s">
        <v>107</v>
      </c>
      <c r="I24" s="32" t="s">
        <v>36</v>
      </c>
    </row>
    <row r="25" spans="1:9" x14ac:dyDescent="0.25">
      <c r="A25" s="28" t="s">
        <v>103</v>
      </c>
      <c r="B25" s="29">
        <v>46218</v>
      </c>
      <c r="C25" s="29">
        <v>46218</v>
      </c>
      <c r="D25" s="29">
        <v>46279</v>
      </c>
      <c r="E25" s="28" t="s">
        <v>108</v>
      </c>
      <c r="F25" s="28" t="s">
        <v>52</v>
      </c>
      <c r="G25" s="30">
        <v>57</v>
      </c>
      <c r="H25" s="30" t="s">
        <v>109</v>
      </c>
      <c r="I25" s="32" t="s">
        <v>34</v>
      </c>
    </row>
    <row r="26" spans="1:9" x14ac:dyDescent="0.25">
      <c r="A26" s="28" t="s">
        <v>110</v>
      </c>
      <c r="B26" s="29">
        <v>46217</v>
      </c>
      <c r="C26" s="29">
        <v>46218</v>
      </c>
      <c r="D26" s="29">
        <v>46265</v>
      </c>
      <c r="E26" s="28" t="s">
        <v>111</v>
      </c>
      <c r="F26" s="28" t="s">
        <v>52</v>
      </c>
      <c r="G26" s="30">
        <v>37</v>
      </c>
      <c r="H26" s="30" t="s">
        <v>112</v>
      </c>
      <c r="I26" s="32" t="s">
        <v>47</v>
      </c>
    </row>
    <row r="27" spans="1:9" x14ac:dyDescent="0.25">
      <c r="A27" s="28" t="s">
        <v>5</v>
      </c>
      <c r="B27" s="29">
        <v>46219</v>
      </c>
      <c r="C27" s="29">
        <v>46219</v>
      </c>
      <c r="D27" s="29">
        <v>46281</v>
      </c>
      <c r="E27" s="28" t="s">
        <v>113</v>
      </c>
      <c r="F27" s="28" t="s">
        <v>52</v>
      </c>
      <c r="G27" s="30">
        <v>5</v>
      </c>
      <c r="H27" s="30" t="s">
        <v>114</v>
      </c>
      <c r="I27" s="32" t="s">
        <v>34</v>
      </c>
    </row>
    <row r="28" spans="1:9" x14ac:dyDescent="0.25">
      <c r="A28" s="28" t="s">
        <v>5</v>
      </c>
      <c r="B28" s="29">
        <v>46220</v>
      </c>
      <c r="C28" s="29">
        <v>46220</v>
      </c>
      <c r="D28" s="29">
        <v>46262</v>
      </c>
      <c r="E28" s="28" t="s">
        <v>115</v>
      </c>
      <c r="F28" s="28" t="s">
        <v>6</v>
      </c>
      <c r="G28" s="30">
        <v>3</v>
      </c>
      <c r="H28" s="30" t="s">
        <v>116</v>
      </c>
      <c r="I28" s="32" t="s">
        <v>46</v>
      </c>
    </row>
    <row r="29" spans="1:9" x14ac:dyDescent="0.25">
      <c r="A29" s="28" t="s">
        <v>5</v>
      </c>
      <c r="B29" s="29">
        <v>46220</v>
      </c>
      <c r="C29" s="29">
        <v>46220</v>
      </c>
      <c r="D29" s="29">
        <v>46262</v>
      </c>
      <c r="E29" s="28" t="s">
        <v>117</v>
      </c>
      <c r="F29" s="28" t="s">
        <v>6</v>
      </c>
      <c r="G29" s="30">
        <v>5</v>
      </c>
      <c r="H29" s="30" t="s">
        <v>118</v>
      </c>
      <c r="I29" s="32" t="s">
        <v>46</v>
      </c>
    </row>
    <row r="30" spans="1:9" x14ac:dyDescent="0.25">
      <c r="A30" s="28" t="s">
        <v>5</v>
      </c>
      <c r="B30" s="29">
        <v>46220</v>
      </c>
      <c r="C30" s="29">
        <v>46220</v>
      </c>
      <c r="D30" s="29">
        <v>46262</v>
      </c>
      <c r="E30" s="28" t="s">
        <v>119</v>
      </c>
      <c r="F30" s="28" t="s">
        <v>6</v>
      </c>
      <c r="G30" s="30">
        <v>87</v>
      </c>
      <c r="H30" s="30" t="s">
        <v>120</v>
      </c>
      <c r="I30" s="32" t="s">
        <v>46</v>
      </c>
    </row>
    <row r="31" spans="1:9" x14ac:dyDescent="0.25">
      <c r="A31" s="28" t="s">
        <v>5</v>
      </c>
      <c r="B31" s="29">
        <v>46220</v>
      </c>
      <c r="C31" s="29">
        <v>46220</v>
      </c>
      <c r="D31" s="29">
        <v>46262</v>
      </c>
      <c r="E31" s="28" t="s">
        <v>121</v>
      </c>
      <c r="F31" s="28" t="s">
        <v>6</v>
      </c>
      <c r="G31" s="30">
        <v>55</v>
      </c>
      <c r="H31" s="30" t="s">
        <v>122</v>
      </c>
      <c r="I31" s="32" t="s">
        <v>46</v>
      </c>
    </row>
    <row r="32" spans="1:9" x14ac:dyDescent="0.25">
      <c r="A32" s="28" t="s">
        <v>54</v>
      </c>
      <c r="B32" s="29">
        <v>46219</v>
      </c>
      <c r="C32" s="29">
        <v>46220</v>
      </c>
      <c r="D32" s="29">
        <v>46234</v>
      </c>
      <c r="E32" s="28" t="s">
        <v>123</v>
      </c>
      <c r="F32" s="28" t="s">
        <v>6</v>
      </c>
      <c r="G32" s="30">
        <v>94</v>
      </c>
      <c r="H32" s="30" t="s">
        <v>124</v>
      </c>
      <c r="I32" s="32" t="s">
        <v>47</v>
      </c>
    </row>
    <row r="33" spans="1:9" x14ac:dyDescent="0.25">
      <c r="A33" s="28" t="s">
        <v>103</v>
      </c>
      <c r="B33" s="29">
        <v>46220</v>
      </c>
      <c r="C33" s="29">
        <v>46220</v>
      </c>
      <c r="D33" s="29">
        <v>46285</v>
      </c>
      <c r="E33" s="28" t="s">
        <v>125</v>
      </c>
      <c r="F33" s="28" t="s">
        <v>6</v>
      </c>
      <c r="G33" s="30">
        <v>253</v>
      </c>
      <c r="H33" s="30" t="s">
        <v>126</v>
      </c>
      <c r="I33" s="32" t="s">
        <v>30</v>
      </c>
    </row>
    <row r="34" spans="1:9" x14ac:dyDescent="0.25">
      <c r="A34" s="28" t="s">
        <v>127</v>
      </c>
      <c r="B34" s="29">
        <v>46218</v>
      </c>
      <c r="C34" s="29">
        <v>46220</v>
      </c>
      <c r="D34" s="29">
        <v>46283</v>
      </c>
      <c r="E34" s="28" t="s">
        <v>128</v>
      </c>
      <c r="F34" s="28" t="s">
        <v>129</v>
      </c>
      <c r="G34" s="30">
        <v>71</v>
      </c>
      <c r="H34" s="30" t="s">
        <v>130</v>
      </c>
      <c r="I34" s="32" t="s">
        <v>34</v>
      </c>
    </row>
    <row r="35" spans="1:9" x14ac:dyDescent="0.25">
      <c r="A35" s="28" t="s">
        <v>103</v>
      </c>
      <c r="B35" s="29">
        <v>46220</v>
      </c>
      <c r="C35" s="29">
        <v>46223</v>
      </c>
      <c r="D35" s="29">
        <v>46296</v>
      </c>
      <c r="E35" s="28" t="s">
        <v>131</v>
      </c>
      <c r="F35" s="28" t="s">
        <v>6</v>
      </c>
      <c r="G35" s="30">
        <v>76</v>
      </c>
      <c r="H35" s="30" t="s">
        <v>132</v>
      </c>
      <c r="I35" s="32" t="s">
        <v>41</v>
      </c>
    </row>
    <row r="36" spans="1:9" x14ac:dyDescent="0.25">
      <c r="A36" s="28" t="s">
        <v>53</v>
      </c>
      <c r="B36" s="29">
        <v>46217</v>
      </c>
      <c r="C36" s="29">
        <v>46223</v>
      </c>
      <c r="D36" s="29">
        <v>46280</v>
      </c>
      <c r="E36" s="28" t="s">
        <v>133</v>
      </c>
      <c r="F36" s="28" t="s">
        <v>52</v>
      </c>
      <c r="G36" s="30">
        <v>198</v>
      </c>
      <c r="H36" s="30" t="s">
        <v>134</v>
      </c>
      <c r="I36" s="32" t="s">
        <v>47</v>
      </c>
    </row>
    <row r="37" spans="1:9" x14ac:dyDescent="0.25">
      <c r="A37" s="28" t="s">
        <v>135</v>
      </c>
      <c r="B37" s="29">
        <v>46223</v>
      </c>
      <c r="C37" s="29">
        <v>46223</v>
      </c>
      <c r="D37" s="29">
        <v>46286</v>
      </c>
      <c r="E37" s="28" t="s">
        <v>136</v>
      </c>
      <c r="F37" s="28" t="s">
        <v>6</v>
      </c>
      <c r="G37" s="30">
        <v>25</v>
      </c>
      <c r="H37" s="30" t="s">
        <v>137</v>
      </c>
      <c r="I37" s="32" t="s">
        <v>41</v>
      </c>
    </row>
    <row r="38" spans="1:9" x14ac:dyDescent="0.25">
      <c r="A38" s="28" t="s">
        <v>138</v>
      </c>
      <c r="B38" s="29">
        <v>46217</v>
      </c>
      <c r="C38" s="29">
        <v>46223</v>
      </c>
      <c r="D38" s="29">
        <v>46278</v>
      </c>
      <c r="E38" s="28" t="s">
        <v>139</v>
      </c>
      <c r="F38" s="28" t="s">
        <v>52</v>
      </c>
      <c r="G38" s="30">
        <v>49</v>
      </c>
      <c r="H38" s="30" t="s">
        <v>140</v>
      </c>
      <c r="I38" s="32" t="s">
        <v>43</v>
      </c>
    </row>
    <row r="39" spans="1:9" x14ac:dyDescent="0.25">
      <c r="A39" s="28" t="s">
        <v>103</v>
      </c>
      <c r="B39" s="29">
        <v>46224</v>
      </c>
      <c r="C39" s="29">
        <v>46224</v>
      </c>
      <c r="D39" s="29">
        <v>46285</v>
      </c>
      <c r="E39" s="28" t="s">
        <v>141</v>
      </c>
      <c r="F39" s="28" t="s">
        <v>52</v>
      </c>
      <c r="G39" s="30">
        <v>61</v>
      </c>
      <c r="H39" s="30" t="s">
        <v>142</v>
      </c>
      <c r="I39" s="32" t="s">
        <v>36</v>
      </c>
    </row>
    <row r="40" spans="1:9" x14ac:dyDescent="0.25">
      <c r="A40" s="28" t="s">
        <v>76</v>
      </c>
      <c r="B40" s="29">
        <v>46224</v>
      </c>
      <c r="C40" s="29">
        <v>46225</v>
      </c>
      <c r="D40" s="29">
        <v>46291</v>
      </c>
      <c r="E40" s="28" t="s">
        <v>143</v>
      </c>
      <c r="F40" s="28" t="s">
        <v>6</v>
      </c>
      <c r="G40" s="30">
        <v>108</v>
      </c>
      <c r="H40" s="30" t="s">
        <v>144</v>
      </c>
      <c r="I40" s="32" t="s">
        <v>46</v>
      </c>
    </row>
    <row r="41" spans="1:9" x14ac:dyDescent="0.25">
      <c r="A41" s="28" t="s">
        <v>138</v>
      </c>
      <c r="B41" s="29">
        <v>46225</v>
      </c>
      <c r="C41" s="29">
        <v>46225</v>
      </c>
      <c r="D41" s="29">
        <v>46285</v>
      </c>
      <c r="E41" s="28" t="s">
        <v>145</v>
      </c>
      <c r="F41" s="28" t="s">
        <v>52</v>
      </c>
      <c r="G41" s="30">
        <v>51</v>
      </c>
      <c r="H41" s="30" t="s">
        <v>146</v>
      </c>
      <c r="I41" s="32" t="s">
        <v>43</v>
      </c>
    </row>
    <row r="42" spans="1:9" x14ac:dyDescent="0.25">
      <c r="A42" s="28" t="s">
        <v>138</v>
      </c>
      <c r="B42" s="29">
        <v>46225</v>
      </c>
      <c r="C42" s="29">
        <v>46225</v>
      </c>
      <c r="D42" s="29">
        <v>46285</v>
      </c>
      <c r="E42" s="28" t="s">
        <v>147</v>
      </c>
      <c r="F42" s="28" t="s">
        <v>52</v>
      </c>
      <c r="G42" s="30">
        <v>7</v>
      </c>
      <c r="H42" s="30" t="s">
        <v>148</v>
      </c>
      <c r="I42" s="32" t="s">
        <v>43</v>
      </c>
    </row>
    <row r="43" spans="1:9" x14ac:dyDescent="0.25">
      <c r="A43" s="33" t="s">
        <v>149</v>
      </c>
      <c r="B43" s="34">
        <v>46226</v>
      </c>
      <c r="C43" s="35">
        <v>46226</v>
      </c>
      <c r="D43" s="34">
        <v>46255</v>
      </c>
      <c r="E43" s="36" t="s">
        <v>150</v>
      </c>
      <c r="F43" s="36" t="s">
        <v>6</v>
      </c>
      <c r="G43" s="37">
        <v>91</v>
      </c>
      <c r="H43" s="36" t="s">
        <v>151</v>
      </c>
      <c r="I43" s="32" t="s">
        <v>43</v>
      </c>
    </row>
    <row r="44" spans="1:9" x14ac:dyDescent="0.25">
      <c r="A44" s="33" t="s">
        <v>79</v>
      </c>
      <c r="B44" s="38">
        <v>46225</v>
      </c>
      <c r="C44" s="39">
        <v>46226</v>
      </c>
      <c r="D44" s="38">
        <v>46286</v>
      </c>
      <c r="E44" s="40" t="s">
        <v>152</v>
      </c>
      <c r="F44" s="40" t="s">
        <v>6</v>
      </c>
      <c r="G44" s="41">
        <v>26</v>
      </c>
      <c r="H44" s="40" t="s">
        <v>153</v>
      </c>
      <c r="I44" s="32" t="s">
        <v>37</v>
      </c>
    </row>
    <row r="45" spans="1:9" x14ac:dyDescent="0.25">
      <c r="A45" s="33" t="s">
        <v>79</v>
      </c>
      <c r="B45" s="34">
        <v>46225</v>
      </c>
      <c r="C45" s="35">
        <v>46226</v>
      </c>
      <c r="D45" s="34">
        <v>46286</v>
      </c>
      <c r="E45" s="36" t="s">
        <v>154</v>
      </c>
      <c r="F45" s="36" t="s">
        <v>6</v>
      </c>
      <c r="G45" s="37">
        <v>1</v>
      </c>
      <c r="H45" s="36" t="s">
        <v>155</v>
      </c>
      <c r="I45" s="32" t="s">
        <v>37</v>
      </c>
    </row>
    <row r="46" spans="1:9" x14ac:dyDescent="0.25">
      <c r="A46" s="33" t="s">
        <v>79</v>
      </c>
      <c r="B46" s="38">
        <v>46225</v>
      </c>
      <c r="C46" s="39">
        <v>46226</v>
      </c>
      <c r="D46" s="38">
        <v>46286</v>
      </c>
      <c r="E46" s="40" t="s">
        <v>156</v>
      </c>
      <c r="F46" s="40" t="s">
        <v>6</v>
      </c>
      <c r="G46" s="41">
        <v>14</v>
      </c>
      <c r="H46" s="40" t="s">
        <v>157</v>
      </c>
      <c r="I46" s="32" t="s">
        <v>37</v>
      </c>
    </row>
    <row r="47" spans="1:9" x14ac:dyDescent="0.25">
      <c r="A47" s="33" t="s">
        <v>5</v>
      </c>
      <c r="B47" s="34">
        <v>46227</v>
      </c>
      <c r="C47" s="35">
        <v>46227</v>
      </c>
      <c r="D47" s="34">
        <v>46292</v>
      </c>
      <c r="E47" s="36" t="s">
        <v>158</v>
      </c>
      <c r="F47" s="36" t="s">
        <v>129</v>
      </c>
      <c r="G47" s="37">
        <v>77</v>
      </c>
      <c r="H47" s="36" t="s">
        <v>159</v>
      </c>
      <c r="I47" s="32" t="s">
        <v>47</v>
      </c>
    </row>
    <row r="48" spans="1:9" x14ac:dyDescent="0.25">
      <c r="A48" s="33" t="s">
        <v>160</v>
      </c>
      <c r="B48" s="34">
        <v>46230</v>
      </c>
      <c r="C48" s="34">
        <v>46230</v>
      </c>
      <c r="D48" s="34">
        <v>46262</v>
      </c>
      <c r="E48" s="36" t="s">
        <v>161</v>
      </c>
      <c r="F48" s="36" t="s">
        <v>6</v>
      </c>
      <c r="G48" s="37">
        <v>81</v>
      </c>
      <c r="H48" s="36" t="s">
        <v>162</v>
      </c>
      <c r="I48" s="32" t="s">
        <v>41</v>
      </c>
    </row>
    <row r="49" spans="1:9" x14ac:dyDescent="0.25">
      <c r="A49" s="33" t="s">
        <v>103</v>
      </c>
      <c r="B49" s="34">
        <v>46227</v>
      </c>
      <c r="C49" s="35">
        <v>46230</v>
      </c>
      <c r="D49" s="34">
        <v>46249</v>
      </c>
      <c r="E49" s="36" t="s">
        <v>163</v>
      </c>
      <c r="F49" s="36" t="s">
        <v>6</v>
      </c>
      <c r="G49" s="37">
        <v>24</v>
      </c>
      <c r="H49" s="36" t="s">
        <v>164</v>
      </c>
      <c r="I49" s="32" t="s">
        <v>41</v>
      </c>
    </row>
    <row r="50" spans="1:9" x14ac:dyDescent="0.25">
      <c r="A50" s="33" t="s">
        <v>103</v>
      </c>
      <c r="B50" s="38">
        <v>46227</v>
      </c>
      <c r="C50" s="35">
        <v>46230</v>
      </c>
      <c r="D50" s="34">
        <v>46249</v>
      </c>
      <c r="E50" s="40" t="s">
        <v>165</v>
      </c>
      <c r="F50" s="40" t="s">
        <v>6</v>
      </c>
      <c r="G50" s="41">
        <v>10</v>
      </c>
      <c r="H50" s="40" t="s">
        <v>166</v>
      </c>
      <c r="I50" s="32" t="s">
        <v>41</v>
      </c>
    </row>
    <row r="51" spans="1:9" x14ac:dyDescent="0.25">
      <c r="A51" s="33" t="s">
        <v>103</v>
      </c>
      <c r="B51" s="34">
        <v>46227</v>
      </c>
      <c r="C51" s="35">
        <v>46230</v>
      </c>
      <c r="D51" s="34">
        <v>46249</v>
      </c>
      <c r="E51" s="36" t="s">
        <v>167</v>
      </c>
      <c r="F51" s="36" t="s">
        <v>6</v>
      </c>
      <c r="G51" s="37">
        <v>2</v>
      </c>
      <c r="H51" s="36" t="s">
        <v>168</v>
      </c>
      <c r="I51" s="32" t="s">
        <v>41</v>
      </c>
    </row>
    <row r="52" spans="1:9" x14ac:dyDescent="0.25">
      <c r="A52" s="33" t="s">
        <v>103</v>
      </c>
      <c r="B52" s="38">
        <v>46227</v>
      </c>
      <c r="C52" s="39">
        <v>46230</v>
      </c>
      <c r="D52" s="38">
        <v>46249</v>
      </c>
      <c r="E52" s="40" t="s">
        <v>169</v>
      </c>
      <c r="F52" s="40" t="s">
        <v>6</v>
      </c>
      <c r="G52" s="41">
        <v>67</v>
      </c>
      <c r="H52" s="40" t="s">
        <v>170</v>
      </c>
      <c r="I52" s="32" t="s">
        <v>41</v>
      </c>
    </row>
    <row r="53" spans="1:9" x14ac:dyDescent="0.25">
      <c r="A53" s="33" t="s">
        <v>171</v>
      </c>
      <c r="B53" s="38">
        <v>46230</v>
      </c>
      <c r="C53" s="38">
        <v>46230</v>
      </c>
      <c r="D53" s="38">
        <v>46291</v>
      </c>
      <c r="E53" s="40" t="s">
        <v>172</v>
      </c>
      <c r="F53" s="40" t="s">
        <v>52</v>
      </c>
      <c r="G53" s="41">
        <v>50</v>
      </c>
      <c r="H53" s="40" t="s">
        <v>173</v>
      </c>
      <c r="I53" s="32" t="s">
        <v>36</v>
      </c>
    </row>
    <row r="54" spans="1:9" x14ac:dyDescent="0.25">
      <c r="A54" s="33" t="s">
        <v>171</v>
      </c>
      <c r="B54" s="34">
        <v>46230</v>
      </c>
      <c r="C54" s="34">
        <v>46230</v>
      </c>
      <c r="D54" s="34">
        <v>46292</v>
      </c>
      <c r="E54" s="36" t="s">
        <v>174</v>
      </c>
      <c r="F54" s="36" t="s">
        <v>52</v>
      </c>
      <c r="G54" s="37">
        <v>67</v>
      </c>
      <c r="H54" s="36" t="s">
        <v>175</v>
      </c>
      <c r="I54" s="32" t="s">
        <v>36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I3:I54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28.42578125" bestFit="1" customWidth="1"/>
    <col min="2" max="2" width="7.7109375" style="22" bestFit="1" customWidth="1"/>
  </cols>
  <sheetData>
    <row r="1" spans="1:2" ht="97.5" x14ac:dyDescent="0.25">
      <c r="A1" s="1" t="s">
        <v>25</v>
      </c>
    </row>
    <row r="2" spans="1:2" x14ac:dyDescent="0.25">
      <c r="A2" s="15" t="s">
        <v>16</v>
      </c>
      <c r="B2" s="23" t="s">
        <v>15</v>
      </c>
    </row>
    <row r="3" spans="1:2" x14ac:dyDescent="0.25">
      <c r="A3" s="17" t="s">
        <v>17</v>
      </c>
      <c r="B3" s="24">
        <f>SUM('Call Center Relocations Report'!G:G)</f>
        <v>163</v>
      </c>
    </row>
    <row r="4" spans="1:2" x14ac:dyDescent="0.25">
      <c r="A4" s="17" t="s">
        <v>9</v>
      </c>
      <c r="B4" s="24">
        <f>COUNTIF('Call Center Relocations Report'!F:F,"Layoff Permanent")</f>
        <v>1</v>
      </c>
    </row>
    <row r="5" spans="1:2" x14ac:dyDescent="0.25">
      <c r="A5" s="17" t="s">
        <v>10</v>
      </c>
      <c r="B5" s="24">
        <f>COUNTIF('Call Center Relocations Report'!F:F,"Layoff Temporary")</f>
        <v>0</v>
      </c>
    </row>
    <row r="6" spans="1:2" x14ac:dyDescent="0.25">
      <c r="A6" s="17" t="s">
        <v>11</v>
      </c>
      <c r="B6" s="24">
        <f>COUNTIF('Call Center Relocations Report'!F:F,"Layoff Not Identified")</f>
        <v>0</v>
      </c>
    </row>
    <row r="7" spans="1:2" x14ac:dyDescent="0.25">
      <c r="A7" s="17" t="s">
        <v>12</v>
      </c>
      <c r="B7" s="24">
        <f>COUNTIF('Call Center Relocations Report'!F:F,"Closure Permanent")</f>
        <v>0</v>
      </c>
    </row>
    <row r="8" spans="1:2" x14ac:dyDescent="0.25">
      <c r="A8" s="17" t="s">
        <v>13</v>
      </c>
      <c r="B8" s="24">
        <f>COUNTIF('Call Center Relocations Report'!F:F,"Closure Temporary")</f>
        <v>0</v>
      </c>
    </row>
    <row r="9" spans="1:2" x14ac:dyDescent="0.2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 x14ac:dyDescent="0.25"/>
  <cols>
    <col min="1" max="1" width="31.140625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 x14ac:dyDescent="0.25">
      <c r="A1" s="25" t="s">
        <v>177</v>
      </c>
      <c r="E1"/>
    </row>
    <row r="2" spans="1:8" ht="24.75" x14ac:dyDescent="0.2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  <row r="14" spans="1:1" x14ac:dyDescent="0.25">
      <c r="A14" t="s">
        <v>43</v>
      </c>
    </row>
    <row r="15" spans="1:1" x14ac:dyDescent="0.25">
      <c r="A15" t="s">
        <v>44</v>
      </c>
    </row>
    <row r="16" spans="1:1" x14ac:dyDescent="0.25">
      <c r="A16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85E9B77-2C92-45AF-95F3-81622F4B0A0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b749e3-8208-459a-bfc0-9b428d09cbab"/>
    <ds:schemaRef ds:uri="9ac7e9dd-8d2d-4750-b54a-f534515ac3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93A623-36B2-4F40-AA66-C4EEB5C0249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4C031CF-DC32-441D-98C4-47929368C47C}">
  <ds:schemaRefs>
    <ds:schemaRef ds:uri="http://schemas.microsoft.com/office/2006/documentManagement/types"/>
    <ds:schemaRef ds:uri="http://purl.org/dc/elements/1.1/"/>
    <ds:schemaRef ds:uri="9ac7e9dd-8d2d-4750-b54a-f534515ac3a2"/>
    <ds:schemaRef ds:uri="http://schemas.microsoft.com/office/infopath/2007/PartnerControls"/>
    <ds:schemaRef ds:uri="http://schemas.openxmlformats.org/package/2006/metadata/core-properties"/>
    <ds:schemaRef ds:uri="http://purl.org/dc/dcmitype/"/>
    <ds:schemaRef ds:uri="82b749e3-8208-459a-bfc0-9b428d09cbab"/>
    <ds:schemaRef ds:uri="http://schemas.microsoft.com/office/2006/metadata/properties"/>
    <ds:schemaRef ds:uri="http://www.w3.org/XML/1998/namespace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2026-07-28T16:51:05Z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