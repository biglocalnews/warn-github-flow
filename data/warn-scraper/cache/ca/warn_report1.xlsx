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CE6B85FA-6502-4C50-8A39-B9B917ECC02C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<sst xmlns="http://schemas.openxmlformats.org/spreadsheetml/2006/main" count="716" uniqueCount="323">
  <si>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</si>
  <si>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</si>
  <si>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</si>
  <si>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</si>
  <si>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</si>
  <si>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</si>
  <si>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</si>
  <si>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</si>
  <si>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</si>
  <si>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</si>
  <si>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</si>
  <si>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</si>
  <si>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</si>
  <si>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</si>
  <si>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</si>
  <si>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</si>
  <si>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</si>
  <si>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</si>
  <si>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</si>
  <si>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</si>
  <si>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</si>
  <si>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</si>
  <si>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</si>
  <si>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</si>
  <si>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</si>
  <si>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</si>
  <si>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</si>
  <si>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</si>
  <si>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</si>
  <si>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</si>
  <si>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</si>
  <si>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</si>
  <si>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</si>
  <si>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</si>
  <si>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</si>
  <si>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</si>
  <si>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</si>
  <si>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</si>
  <si>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</si>
  <si>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</si>
  <si>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</si>
  <si>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</si>
  <si>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</si>
  <si>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</si>
  <si>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</si>
  <si>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</si>
  <si>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</si>
  <si>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</si>
  <si>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</si>
  <si>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</si>
  <si>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</si>
  <si>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</si>
  <si>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</si>
  <si>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</si>
  <si>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</si>
  <si>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</si>
  <si>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</si>
  <si>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</si>
  <si>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</si>
  <si>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</si>
  <si>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</si>
  <si>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</si>
  <si>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</si>
  <si>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</si>
  <si>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</si>
  <si>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</si>
  <si>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</si>
  <si>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</si>
  <si>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</si>
  <si>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</si>
  <si>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</si>
  <si>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</si>
  <si>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</si>
  <si>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</si>
  <si>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</si>
  <si>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</si>
  <si>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</si>
  <si>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</si>
  <si>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</si>
  <si>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</si>
  <si>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</si>
  <si>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</si>
  <si>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</si>
  <si>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</si>
  <si>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</si>
  <si>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</si>
  <si>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</si>
  <si>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</si>
  <si>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</si>
  <si>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</si>
  <si>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</si>
  <si>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</si>
  <si>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</si>
  <si>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</si>
  <si>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</si>
  <si>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</si>
  <si>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</si>
  <si>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</si>
  <si>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</si>
  <si>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</si>
  <si>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</si>
  <si>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</si>
  <si>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</si>
  <si>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</si>
  <si>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</si>
  <si>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</si>
  <si>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</si>
  <si>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</si>
  <si>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</si>
  <si>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</si>
  <si>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</si>
  <si>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</si>
  <si>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</si>
  <si>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</si>
  <si>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</si>
  <si>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</si>
  <si>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</si>
  <si>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</si>
  <si>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</si>
  <si>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</si>
  <si>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</si>
  <si>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</si>
  <si>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</si>
  <si>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</si>
  <si>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</si>
  <si>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</si>
  <si>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</si>
  <si>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</si>
  <si>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</si>
  <si>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</si>
  <si>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</si>
  <si>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</si>
  <si>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</si>
  <si>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</si>
  <si>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</si>
  <si>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</si>
  <si>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</si>
  <si>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</si>
  <si>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</si>
  <si>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</si>
  <si>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</si>
  <si>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</si>
  <si>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</si>
  <si>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</si>
  <si>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</si>
  <si>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</si>
  <si>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</si>
  <si>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</si>
  <si>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</si>
  <si>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</si>
  <si>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</si>
  <si>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</si>
  <si>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</si>
  <si>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</si>
  <si>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</si>
  <si>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</si>
  <si>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</si>
  <si>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</si>
  <si>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</si>
  <si>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</si>
  <si>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</si>
  <si>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</si>
  <si>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</si>
  <si>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</si>
  <si>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</si>
  <si>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</si>
  <si>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</si>
  <si>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</si>
  <si>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</si>
  <si>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</si>
  <si>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</si>
  <si>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</si>
  <si>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</si>
  <si>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</si>
  <si>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</si>
  <si>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</si>
  <si>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</si>
  <si>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</si>
  <si>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</si>
  <si>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</si>
  <si>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</si>
  <si>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</si>
  <si>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</si>
  <si>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</si>
  <si>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</si>
  <si>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</si>
  <si>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</si>
  <si>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</si>
  <si>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</si>
  <si>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</si>
  <si>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</si>
  <si>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</si>
  <si>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</si>
  <si>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</si>
  <si>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</si>
  <si>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</si>
  <si>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</si>
  <si>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</si>
  <si>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</si>
  <si>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</si>
  <si>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</si>
  <si>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</si>
  <si>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</si>
  <si>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</si>
  <si>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</si>
  <si>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</si>
  <si>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</si>
  <si>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</si>
  <si>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</si>
  <si>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</si>
  <si>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</si>
  <si>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</si>
  <si>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</si>
  <si>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</si>
  <si>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</si>
  <si>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</si>
  <si>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</si>
  <si>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</si>
  <si>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</si>
  <si>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</si>
  <si>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</si>
  <si>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</si>
  <si>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</si>
  <si>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</si>
  <si>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</si>
  <si>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</si>
  <si>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</si>
  <si>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</si>
  <si>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</si>
  <si>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</si>
  <si>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</si>
  <si>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</si>
  <si>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</si>
  <si>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</si>
  <si>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</si>
  <si>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</si>
  <si>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</si>
  <si>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</si>
  <si>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</si>
  <si>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</si>
  <si>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</si>
  <si>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</si>
  <si>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</si>
  <si>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</si>
  <si>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</si>
  <si>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</si>
  <si>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</si>
  <si>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</si>
  <si>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</si>
  <si>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</si>
  <si>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</si>
  <si>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</si>
  <si>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</si>
  <si>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</si>
  <si>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</si>
  <si>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</si>
  <si>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</si>
  <si>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</si>
  <si>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</si>
  <si>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</si>
  <si>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</si>
  <si>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</si>
  <si>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</si>
  <si>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</si>
  <si>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</si>
  <si>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</si>
  <si>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</si>
  <si>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</si>
  <si>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</si>
  <si>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</si>
  <si>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</si>
  <si>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</si>
  <si>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</si>
  <si>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</si>
  <si>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</si>
  <si>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</si>
  <si>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</si>
  <si>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</si>
  <si>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</si>
  <si>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</si>
  <si>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</si>
  <si>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</si>
  <si>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</si>
  <si>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</si>
  <si>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</si>
  <si>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</si>
  <si>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</si>
  <si>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</si>
  <si>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</si>
  <si>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</si>
  <si>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</si>
  <si>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</si>
  <si>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</si>
  <si>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</si>
  <si>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</si>
  <si>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</si>
  <si>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</si>
  <si>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</si>
  <si>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</si>
  <si>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</si>
  <si>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</si>
  <si>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</si>
  <si>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</si>
  <si>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</si>
  <si>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</si>
  <si>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</si>
  <si>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</si>
  <si>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</si>
  <si>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</si>
  <si>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</si>
  <si>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</si>
  <si>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</si>
  <si>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</si>
  <si>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</si>
  <si>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</si>
  <si>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</si>
  <si>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01/01/2023 - 08/17/2026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</si>
  <si>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</si>
  <si>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</si>
  <si>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</si>
  <si>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</si>
  <si>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</si>
  <si>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r>
      <t xml:space="preserve">WARN REPORT - </t>
    </r>
    <r>
      <rPr>
        <b/>
        <sz val="12"/>
        <rFont val="Calibri"/>
        <family val="2"/>
        <scheme val="minor"/>
      </rPr>
      <t>07/01/26 to 08/17/2026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I131.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</si>
</sst>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31" totalsRowShown="0" headerRowDxfId="31" dataDxfId="30">
  <autoFilter ref="A2:I131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5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6354</v>
      </c>
    </row>
    <row r="4" spans="1:2" x14ac:dyDescent="0.25">
      <c r="A4" s="2" t="s">
        <v>9</v>
      </c>
      <c r="B4" s="11">
        <f>COUNTIF('Detailed WARN Report '!F:F,"Layoff Permanent")</f>
        <v>82</v>
      </c>
    </row>
    <row r="5" spans="1:2" x14ac:dyDescent="0.25">
      <c r="A5" s="2" t="s">
        <v>10</v>
      </c>
      <c r="B5" s="11">
        <f>COUNTIF('Detailed WARN Report '!F:F,"Layoff Temporary")</f>
        <v>5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41</v>
      </c>
    </row>
    <row r="8" spans="1:2" x14ac:dyDescent="0.25">
      <c r="A8" s="2" t="s">
        <v>13</v>
      </c>
      <c r="B8" s="11">
        <f>COUNTIF('Detailed WARN Report '!F:F,"Closure Temporary")</f>
        <v>1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31"/>
  <sheetViews>
    <sheetView zoomScaleNormal="100" workbookViewId="0"/>
  </sheetViews>
  <sheetFormatPr defaultColWidth="161.42578125" defaultRowHeight="15" x14ac:dyDescent="0.25"/>
  <cols>
    <col min="1" max="1" width="28.28515625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45.85546875" style="10" bestFit="1" customWidth="1"/>
    <col min="6" max="6" width="14.285156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322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2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2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2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2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2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  <row r="55" spans="1:9" x14ac:dyDescent="0.2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2" t="s">
        <v>47</v>
      </c>
    </row>
    <row r="56" spans="1:9" x14ac:dyDescent="0.2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2" t="s">
        <v>35</v>
      </c>
    </row>
    <row r="57" spans="1:9" x14ac:dyDescent="0.2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2" t="s">
        <v>35</v>
      </c>
    </row>
    <row r="58" spans="1:9" x14ac:dyDescent="0.2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2" t="s">
        <v>35</v>
      </c>
    </row>
    <row r="59" spans="1:9" x14ac:dyDescent="0.2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2" t="s">
        <v>35</v>
      </c>
    </row>
    <row r="60" spans="1:9" x14ac:dyDescent="0.2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2" t="s">
        <v>35</v>
      </c>
    </row>
    <row r="61" spans="1:9" x14ac:dyDescent="0.2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2" t="s">
        <v>35</v>
      </c>
    </row>
    <row r="62" spans="1:9" x14ac:dyDescent="0.2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2" t="s">
        <v>35</v>
      </c>
    </row>
    <row r="63" spans="1:9" x14ac:dyDescent="0.2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2" t="s">
        <v>35</v>
      </c>
    </row>
    <row r="64" spans="1:9" x14ac:dyDescent="0.2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2" t="s">
        <v>35</v>
      </c>
    </row>
    <row r="65" spans="1:9" x14ac:dyDescent="0.2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2" t="s">
        <v>35</v>
      </c>
    </row>
    <row r="66" spans="1:9" x14ac:dyDescent="0.2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2" t="s">
        <v>35</v>
      </c>
    </row>
    <row r="67" spans="1:9" x14ac:dyDescent="0.2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2" t="s">
        <v>35</v>
      </c>
    </row>
    <row r="68" spans="1:9" x14ac:dyDescent="0.2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2" t="s">
        <v>35</v>
      </c>
    </row>
    <row r="69" spans="1:9" x14ac:dyDescent="0.2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2" t="s">
        <v>41</v>
      </c>
    </row>
    <row r="70" spans="1:9" x14ac:dyDescent="0.2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2" t="s">
        <v>41</v>
      </c>
    </row>
    <row r="71" spans="1:9" x14ac:dyDescent="0.2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2" t="s">
        <v>43</v>
      </c>
    </row>
    <row r="72" spans="1:9" x14ac:dyDescent="0.2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2" t="s">
        <v>38</v>
      </c>
    </row>
    <row r="73" spans="1:9" x14ac:dyDescent="0.2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2" t="s">
        <v>37</v>
      </c>
    </row>
    <row r="74" spans="1:9" x14ac:dyDescent="0.2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2" t="s">
        <v>37</v>
      </c>
    </row>
    <row r="75" spans="1:9" x14ac:dyDescent="0.2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2" t="s">
        <v>47</v>
      </c>
    </row>
    <row r="76" spans="1:9" x14ac:dyDescent="0.2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2" t="s">
        <v>45</v>
      </c>
    </row>
    <row r="77" spans="1:9" x14ac:dyDescent="0.2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2" t="s">
        <v>45</v>
      </c>
    </row>
    <row r="78" spans="1:9" x14ac:dyDescent="0.2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2" t="s">
        <v>37</v>
      </c>
    </row>
    <row r="79" spans="1:9" x14ac:dyDescent="0.2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2" t="s">
        <v>37</v>
      </c>
    </row>
    <row r="80" spans="1:9" x14ac:dyDescent="0.2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2" t="s">
        <v>37</v>
      </c>
    </row>
    <row r="81" spans="1:9" x14ac:dyDescent="0.2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2" t="s">
        <v>37</v>
      </c>
    </row>
    <row r="82" spans="1:9" x14ac:dyDescent="0.2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2" t="s">
        <v>37</v>
      </c>
    </row>
    <row r="83" spans="1:9" x14ac:dyDescent="0.2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2" t="s">
        <v>39</v>
      </c>
    </row>
    <row r="84" spans="1:9" x14ac:dyDescent="0.2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2" t="s">
        <v>41</v>
      </c>
    </row>
    <row r="85" spans="1:9" x14ac:dyDescent="0.2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2" t="s">
        <v>39</v>
      </c>
    </row>
    <row r="86" spans="1:9" x14ac:dyDescent="0.2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2" t="s">
        <v>37</v>
      </c>
    </row>
    <row r="87" spans="1:9" x14ac:dyDescent="0.2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2" t="s">
        <v>37</v>
      </c>
    </row>
    <row r="88" spans="1:9" x14ac:dyDescent="0.2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2" t="s">
        <v>39</v>
      </c>
    </row>
    <row r="89" spans="1:9" x14ac:dyDescent="0.2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2" t="s">
        <v>45</v>
      </c>
    </row>
    <row r="90" spans="1:9" x14ac:dyDescent="0.2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2" t="s">
        <v>38</v>
      </c>
    </row>
    <row r="91" spans="1:9" x14ac:dyDescent="0.2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2" t="s">
        <v>43</v>
      </c>
    </row>
    <row r="92" spans="1:9" x14ac:dyDescent="0.2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2" t="s">
        <v>38</v>
      </c>
    </row>
    <row r="93" spans="1:9" x14ac:dyDescent="0.25">
      <c r="A93" s="33" t="s">
        <v>5</v>
      </c>
      <c r="B93" s="38">
        <v>46240</v>
      </c>
      <c r="C93" s="38">
        <v>46240</v>
      </c>
      <c r="D93" s="38">
        <v>46301</v>
      </c>
      <c r="E93" s="39" t="s">
        <v>248</v>
      </c>
      <c r="F93" s="36" t="s">
        <v>6</v>
      </c>
      <c r="G93" s="40">
        <v>139</v>
      </c>
      <c r="H93" s="28" t="s">
        <v>249</v>
      </c>
      <c r="I93" s="32" t="s">
        <v>48</v>
      </c>
    </row>
    <row r="94" spans="1:9" x14ac:dyDescent="0.25">
      <c r="A94" s="33" t="s">
        <v>5</v>
      </c>
      <c r="B94" s="38">
        <v>46240</v>
      </c>
      <c r="C94" s="38">
        <v>46240</v>
      </c>
      <c r="D94" s="38">
        <v>46301</v>
      </c>
      <c r="E94" s="39" t="s">
        <v>250</v>
      </c>
      <c r="F94" s="36" t="s">
        <v>6</v>
      </c>
      <c r="G94" s="40">
        <v>58</v>
      </c>
      <c r="H94" s="28" t="s">
        <v>251</v>
      </c>
      <c r="I94" s="32" t="s">
        <v>48</v>
      </c>
    </row>
    <row r="95" spans="1:9" x14ac:dyDescent="0.25">
      <c r="A95" s="33" t="s">
        <v>5</v>
      </c>
      <c r="B95" s="38">
        <v>46240</v>
      </c>
      <c r="C95" s="38">
        <v>46240</v>
      </c>
      <c r="D95" s="38">
        <v>46301</v>
      </c>
      <c r="E95" s="39" t="s">
        <v>252</v>
      </c>
      <c r="F95" s="36" t="s">
        <v>6</v>
      </c>
      <c r="G95" s="40">
        <v>50</v>
      </c>
      <c r="H95" s="28" t="s">
        <v>253</v>
      </c>
      <c r="I95" s="32" t="s">
        <v>48</v>
      </c>
    </row>
    <row r="96" spans="1:9" x14ac:dyDescent="0.25">
      <c r="A96" s="33" t="s">
        <v>5</v>
      </c>
      <c r="B96" s="38">
        <v>46239</v>
      </c>
      <c r="C96" s="38">
        <v>46240</v>
      </c>
      <c r="D96" s="38">
        <v>46304</v>
      </c>
      <c r="E96" s="39" t="s">
        <v>254</v>
      </c>
      <c r="F96" s="36" t="s">
        <v>52</v>
      </c>
      <c r="G96" s="40">
        <v>109</v>
      </c>
      <c r="H96" s="28" t="s">
        <v>255</v>
      </c>
      <c r="I96" s="32" t="s">
        <v>36</v>
      </c>
    </row>
    <row r="97" spans="1:9" x14ac:dyDescent="0.25">
      <c r="A97" s="33" t="s">
        <v>189</v>
      </c>
      <c r="B97" s="38">
        <v>46237</v>
      </c>
      <c r="C97" s="38">
        <v>46240</v>
      </c>
      <c r="D97" s="38">
        <v>46298</v>
      </c>
      <c r="E97" s="39" t="s">
        <v>256</v>
      </c>
      <c r="F97" s="36" t="s">
        <v>52</v>
      </c>
      <c r="G97" s="40">
        <v>4</v>
      </c>
      <c r="H97" s="28" t="s">
        <v>257</v>
      </c>
      <c r="I97" s="32" t="s">
        <v>35</v>
      </c>
    </row>
    <row r="98" spans="1:9" x14ac:dyDescent="0.25">
      <c r="A98" s="33" t="s">
        <v>56</v>
      </c>
      <c r="B98" s="38">
        <v>46237</v>
      </c>
      <c r="C98" s="38">
        <v>46240</v>
      </c>
      <c r="D98" s="38">
        <v>46298</v>
      </c>
      <c r="E98" s="39" t="s">
        <v>256</v>
      </c>
      <c r="F98" s="36" t="s">
        <v>52</v>
      </c>
      <c r="G98" s="40">
        <v>99</v>
      </c>
      <c r="H98" s="28" t="s">
        <v>258</v>
      </c>
      <c r="I98" s="32" t="s">
        <v>35</v>
      </c>
    </row>
    <row r="99" spans="1:9" x14ac:dyDescent="0.25">
      <c r="A99" s="33" t="s">
        <v>171</v>
      </c>
      <c r="B99" s="38">
        <v>46224</v>
      </c>
      <c r="C99" s="38">
        <v>46240</v>
      </c>
      <c r="D99" s="38">
        <v>46224</v>
      </c>
      <c r="E99" s="39" t="s">
        <v>209</v>
      </c>
      <c r="F99" s="36" t="s">
        <v>129</v>
      </c>
      <c r="G99" s="40">
        <v>60</v>
      </c>
      <c r="H99" s="28" t="s">
        <v>259</v>
      </c>
      <c r="I99" s="32" t="s">
        <v>43</v>
      </c>
    </row>
    <row r="100" spans="1:9" x14ac:dyDescent="0.25">
      <c r="A100" s="33" t="s">
        <v>260</v>
      </c>
      <c r="B100" s="38">
        <v>46241</v>
      </c>
      <c r="C100" s="38">
        <v>46241</v>
      </c>
      <c r="D100" s="38">
        <v>46310</v>
      </c>
      <c r="E100" s="39" t="s">
        <v>261</v>
      </c>
      <c r="F100" s="36" t="s">
        <v>129</v>
      </c>
      <c r="G100" s="40">
        <v>91</v>
      </c>
      <c r="H100" s="28" t="s">
        <v>262</v>
      </c>
      <c r="I100" s="32" t="s">
        <v>30</v>
      </c>
    </row>
    <row r="101" spans="1:9" x14ac:dyDescent="0.25">
      <c r="A101" s="33" t="s">
        <v>171</v>
      </c>
      <c r="B101" s="38">
        <v>46241</v>
      </c>
      <c r="C101" s="38">
        <v>46244</v>
      </c>
      <c r="D101" s="38">
        <v>46301</v>
      </c>
      <c r="E101" s="39" t="s">
        <v>263</v>
      </c>
      <c r="F101" s="36" t="s">
        <v>6</v>
      </c>
      <c r="G101" s="40">
        <v>66</v>
      </c>
      <c r="H101" s="28" t="s">
        <v>264</v>
      </c>
      <c r="I101" s="32" t="s">
        <v>34</v>
      </c>
    </row>
    <row r="102" spans="1:9" x14ac:dyDescent="0.2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2" t="s">
        <v>34</v>
      </c>
    </row>
    <row r="103" spans="1:9" x14ac:dyDescent="0.2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2" t="s">
        <v>48</v>
      </c>
    </row>
    <row r="104" spans="1:9" x14ac:dyDescent="0.2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2" t="s">
        <v>45</v>
      </c>
    </row>
    <row r="105" spans="1:9" x14ac:dyDescent="0.2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2" t="s">
        <v>45</v>
      </c>
    </row>
    <row r="106" spans="1:9" x14ac:dyDescent="0.2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2" t="s">
        <v>45</v>
      </c>
    </row>
    <row r="107" spans="1:9" x14ac:dyDescent="0.2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2" t="s">
        <v>45</v>
      </c>
    </row>
    <row r="108" spans="1:9" x14ac:dyDescent="0.2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2" t="s">
        <v>45</v>
      </c>
    </row>
    <row r="109" spans="1:9" x14ac:dyDescent="0.2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2" t="s">
        <v>45</v>
      </c>
    </row>
    <row r="110" spans="1:9" x14ac:dyDescent="0.2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2" t="s">
        <v>49</v>
      </c>
    </row>
    <row r="111" spans="1:9" x14ac:dyDescent="0.2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2" t="s">
        <v>49</v>
      </c>
    </row>
    <row r="112" spans="1:9" x14ac:dyDescent="0.2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2" t="s">
        <v>49</v>
      </c>
    </row>
    <row r="113" spans="1:9" x14ac:dyDescent="0.2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2" t="s">
        <v>49</v>
      </c>
    </row>
    <row r="114" spans="1:9" x14ac:dyDescent="0.2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2" t="s">
        <v>49</v>
      </c>
    </row>
    <row r="115" spans="1:9" x14ac:dyDescent="0.2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2" t="s">
        <v>49</v>
      </c>
    </row>
    <row r="116" spans="1:9" x14ac:dyDescent="0.2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2" t="s">
        <v>49</v>
      </c>
    </row>
    <row r="117" spans="1:9" x14ac:dyDescent="0.2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2" t="s">
        <v>49</v>
      </c>
    </row>
    <row r="118" spans="1:9" x14ac:dyDescent="0.2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2" t="s">
        <v>49</v>
      </c>
    </row>
    <row r="119" spans="1:9" x14ac:dyDescent="0.2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2" t="s">
        <v>49</v>
      </c>
    </row>
    <row r="120" spans="1:9" x14ac:dyDescent="0.2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2" t="s">
        <v>49</v>
      </c>
    </row>
    <row r="121" spans="1:9" x14ac:dyDescent="0.2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2" t="s">
        <v>49</v>
      </c>
    </row>
    <row r="122" spans="1:9" x14ac:dyDescent="0.2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2" t="s">
        <v>49</v>
      </c>
    </row>
    <row r="123" spans="1:9" x14ac:dyDescent="0.2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2" t="s">
        <v>49</v>
      </c>
    </row>
    <row r="124" spans="1:9" x14ac:dyDescent="0.2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2" t="s">
        <v>49</v>
      </c>
    </row>
    <row r="125" spans="1:9" x14ac:dyDescent="0.2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2" t="s">
        <v>49</v>
      </c>
    </row>
    <row r="126" spans="1:9" x14ac:dyDescent="0.2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2" t="s">
        <v>49</v>
      </c>
    </row>
    <row r="127" spans="1:9" x14ac:dyDescent="0.2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2" t="s">
        <v>49</v>
      </c>
    </row>
    <row r="128" spans="1:9" x14ac:dyDescent="0.2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2" t="s">
        <v>49</v>
      </c>
    </row>
    <row r="129" spans="1:9" x14ac:dyDescent="0.2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317</v>
      </c>
      <c r="F129" s="28" t="s">
        <v>6</v>
      </c>
      <c r="G129" s="30">
        <v>14</v>
      </c>
      <c r="H129" s="30" t="s">
        <v>120</v>
      </c>
      <c r="I129" s="32" t="s">
        <v>38</v>
      </c>
    </row>
    <row r="130" spans="1:9" x14ac:dyDescent="0.2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318</v>
      </c>
      <c r="F130" s="28" t="s">
        <v>6</v>
      </c>
      <c r="G130" s="30">
        <v>59</v>
      </c>
      <c r="H130" s="30" t="s">
        <v>319</v>
      </c>
      <c r="I130" s="32" t="s">
        <v>38</v>
      </c>
    </row>
    <row r="131" spans="1:9" x14ac:dyDescent="0.2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320</v>
      </c>
      <c r="F131" s="28" t="s">
        <v>6</v>
      </c>
      <c r="G131" s="30">
        <v>115</v>
      </c>
      <c r="H131" s="30" t="s">
        <v>321</v>
      </c>
      <c r="I131" s="32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316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D160E30-BC30-4B6D-ACC5-72FBA8F9F1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46929A-3DE1-4C62-9238-C2B18861127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FD289F2-34C9-4527-98E3-ED4CBE06E698}">
  <ds:schemaRefs>
    <ds:schemaRef ds:uri="http://schemas.microsoft.com/office/infopath/2007/PartnerControls"/>
    <ds:schemaRef ds:uri="9ac7e9dd-8d2d-4750-b54a-f534515ac3a2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82b749e3-8208-459a-bfc0-9b428d09cbab"/>
    <ds:schemaRef ds:uri="http://www.w3.org/XML/1998/namespace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2026-08-18T16:46:38Z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