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B995A944-28FE-46F0-8552-022B639D4940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<sst xmlns="http://schemas.openxmlformats.org/spreadsheetml/2006/main" count="3731" uniqueCount="1330">
  <si>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</si>
  <si>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</si>
  <si>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</si>
  <si>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</si>
  <si>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</si>
  <si>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</si>
  <si>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</si>
  <si>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</si>
  <si>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</si>
  <si>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</si>
  <si>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</si>
  <si>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</si>
  <si>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</si>
  <si>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</si>
  <si>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</si>
  <si>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</si>
  <si>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</si>
  <si>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</si>
  <si>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</si>
  <si>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</si>
  <si>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</si>
  <si>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</si>
  <si>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</si>
  <si>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</si>
  <si>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</si>
  <si>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</si>
  <si>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</si>
  <si>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</si>
  <si>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</si>
  <si>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</si>
  <si>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</si>
  <si>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</si>
  <si>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</si>
  <si>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</si>
  <si>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</si>
  <si>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</si>
  <si>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</si>
  <si>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</si>
  <si>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</si>
  <si>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</si>
  <si>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</si>
  <si>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</si>
  <si>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</si>
  <si>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</si>
  <si>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</si>
  <si>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</si>
  <si>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</si>
  <si>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</si>
  <si>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</si>
  <si>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</si>
  <si>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</si>
  <si>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</si>
  <si>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</si>
  <si>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</si>
  <si>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</si>
  <si>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</si>
  <si>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</si>
  <si>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</si>
  <si>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</si>
  <si>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</si>
  <si>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</si>
  <si>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</si>
  <si>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</si>
  <si>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</si>
  <si>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</si>
  <si>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</si>
  <si>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</si>
  <si>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</si>
  <si>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</si>
  <si>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</si>
  <si>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</si>
  <si>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</si>
  <si>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</si>
  <si>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</si>
  <si>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</si>
  <si>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</si>
  <si>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</si>
  <si>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</si>
  <si>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</si>
  <si>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</si>
  <si>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</si>
  <si>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</si>
  <si>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</si>
  <si>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</si>
  <si>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</si>
  <si>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</si>
  <si>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</si>
  <si>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</si>
  <si>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</si>
  <si>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</si>
  <si>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</si>
  <si>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</si>
  <si>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</si>
  <si>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</si>
  <si>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</si>
  <si>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</si>
  <si>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</si>
  <si>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</si>
  <si>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</si>
  <si>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</si>
  <si>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</si>
  <si>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</si>
  <si>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</si>
  <si>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</si>
  <si>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</si>
  <si>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</si>
  <si>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</si>
  <si>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</si>
  <si>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</si>
  <si>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</si>
  <si>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</si>
  <si>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</si>
  <si>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</si>
  <si>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</si>
  <si>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</si>
  <si>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</si>
  <si>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</si>
  <si>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</si>
  <si>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</si>
  <si>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</si>
  <si>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</si>
  <si>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</si>
  <si>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</si>
  <si>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</si>
  <si>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</si>
  <si>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</si>
  <si>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</si>
  <si>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</si>
  <si>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</si>
  <si>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</si>
  <si>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</si>
  <si>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</si>
  <si>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</si>
  <si>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</si>
  <si>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</si>
  <si>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</si>
  <si>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</si>
  <si>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</si>
  <si>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</si>
  <si>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</si>
  <si>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</si>
  <si>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</si>
  <si>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</si>
  <si>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</si>
  <si>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</si>
  <si>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</si>
  <si>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</si>
  <si>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</si>
  <si>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</si>
  <si>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</si>
  <si>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</si>
  <si>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</si>
  <si>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</si>
  <si>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</si>
  <si>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</si>
  <si>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</si>
  <si>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</si>
  <si>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</si>
  <si>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</si>
  <si>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</si>
  <si>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</si>
  <si>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</si>
  <si>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</si>
  <si>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</si>
  <si>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</si>
  <si>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</si>
  <si>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</si>
  <si>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</si>
  <si>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</si>
  <si>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</si>
  <si>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</si>
  <si>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</si>
  <si>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</si>
  <si>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</si>
  <si>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</si>
  <si>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</si>
  <si>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</si>
  <si>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</si>
  <si>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</si>
  <si>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</si>
  <si>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</si>
  <si>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</si>
  <si>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</si>
  <si>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</si>
  <si>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</si>
  <si>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</si>
  <si>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</si>
  <si>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</si>
  <si>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</si>
  <si>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</si>
  <si>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</si>
  <si>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</si>
  <si>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</si>
  <si>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</si>
  <si>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</si>
  <si>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</si>
  <si>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</si>
  <si>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</si>
  <si>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</si>
  <si>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</si>
  <si>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</si>
  <si>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</si>
  <si>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</si>
  <si>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</si>
  <si>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</si>
  <si>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</si>
  <si>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</si>
  <si>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</si>
  <si>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</si>
  <si>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</si>
  <si>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</si>
  <si>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</si>
  <si>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</si>
  <si>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</si>
  <si>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</si>
  <si>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</si>
  <si>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</si>
  <si>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</si>
  <si>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</si>
  <si>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</si>
  <si>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</si>
  <si>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</si>
  <si>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</si>
  <si>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</si>
  <si>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</si>
  <si>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</si>
  <si>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</si>
  <si>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</si>
  <si>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</si>
  <si>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</si>
  <si>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</si>
  <si>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</si>
  <si>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</si>
  <si>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</si>
  <si>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</si>
  <si>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</si>
  <si>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</si>
  <si>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</si>
  <si>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</si>
  <si>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</si>
  <si>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</si>
  <si>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</si>
  <si>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</si>
  <si>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</si>
  <si>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</si>
  <si>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</si>
  <si>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</si>
  <si>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</si>
  <si>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</si>
  <si>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</si>
  <si>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</si>
  <si>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</si>
  <si>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</si>
  <si>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</si>
  <si>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</si>
  <si>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</si>
  <si>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</si>
  <si>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</si>
  <si>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</si>
  <si>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</si>
  <si>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</si>
  <si>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</si>
  <si>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</si>
  <si>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</si>
  <si>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</si>
  <si>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</si>
  <si>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</si>
  <si>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</si>
  <si>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</si>
  <si>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</si>
  <si>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</si>
  <si>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</si>
  <si>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</si>
  <si>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</si>
  <si>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</si>
  <si>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</si>
  <si>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</si>
  <si>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</si>
  <si>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</si>
  <si>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</si>
  <si>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</si>
  <si>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</si>
  <si>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</si>
  <si>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</si>
  <si>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</si>
  <si>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</si>
  <si>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</si>
  <si>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</si>
  <si>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</si>
  <si>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</si>
  <si>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</si>
  <si>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</si>
  <si>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</si>
  <si>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</si>
  <si>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</si>
  <si>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</si>
  <si>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</si>
  <si>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</si>
  <si>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</si>
  <si>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</si>
  <si>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</si>
  <si>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</si>
  <si>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</si>
  <si>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</si>
  <si>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</si>
  <si>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</si>
  <si>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</si>
  <si>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</si>
  <si>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</si>
  <si>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</si>
  <si>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</si>
  <si>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</si>
  <si>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</si>
  <si>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</si>
  <si>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</si>
  <si>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</si>
  <si>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</si>
  <si>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</si>
  <si>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</si>
  <si>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</si>
  <si>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</si>
  <si>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</si>
  <si>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</si>
  <si>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</si>
  <si>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</si>
  <si>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</si>
  <si>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</si>
  <si>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</si>
  <si>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</si>
  <si>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</si>
  <si>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</si>
  <si>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</si>
  <si>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</si>
  <si>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</si>
  <si>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</si>
  <si>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</si>
  <si>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</si>
  <si>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</si>
  <si>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</si>
  <si>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</si>
  <si>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</si>
  <si>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</si>
  <si>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</si>
  <si>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</si>
  <si>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</si>
  <si>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</si>
  <si>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</si>
  <si>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</si>
  <si>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</si>
  <si>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</si>
  <si>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</si>
  <si>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</si>
  <si>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</si>
  <si>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</si>
  <si>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</si>
  <si>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</si>
  <si>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</si>
  <si>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</si>
  <si>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</si>
  <si>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</si>
  <si>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</si>
  <si>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</si>
  <si>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</si>
  <si>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</si>
  <si>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</si>
  <si>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</si>
  <si>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</si>
  <si>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</si>
  <si>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</si>
  <si>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</si>
  <si>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</si>
  <si>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</si>
  <si>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</si>
  <si>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</si>
  <si>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</si>
  <si>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</si>
  <si>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</si>
  <si>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</si>
  <si>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</si>
  <si>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</si>
  <si>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</si>
  <si>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</si>
  <si>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</si>
  <si>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</si>
  <si>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</si>
  <si>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</si>
  <si>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</si>
  <si>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</si>
  <si>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</si>
  <si>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</si>
  <si>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</si>
  <si>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</si>
  <si>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</si>
  <si>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</si>
  <si>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</si>
  <si>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</si>
  <si>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</si>
  <si>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</si>
  <si>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</si>
  <si>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</si>
  <si>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</si>
  <si>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</si>
  <si>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</si>
  <si>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</si>
  <si>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</si>
  <si>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</si>
  <si>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</si>
  <si>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</si>
  <si>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</si>
  <si>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</si>
  <si>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</si>
  <si>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</si>
  <si>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</si>
  <si>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</si>
  <si>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</si>
  <si>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</si>
  <si>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</si>
  <si>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</si>
  <si>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</si>
  <si>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</si>
  <si>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</si>
  <si>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</si>
  <si>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</si>
  <si>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</si>
  <si>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</si>
  <si>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</si>
  <si>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</si>
  <si>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</si>
  <si>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</si>
  <si>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</si>
  <si>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</si>
  <si>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</si>
  <si>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</si>
  <si>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</si>
  <si>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</si>
  <si>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</si>
  <si>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</si>
  <si>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</si>
  <si>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</si>
  <si>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</si>
  <si>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</si>
  <si>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</si>
  <si>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</si>
  <si>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</si>
  <si>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</si>
  <si>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</si>
  <si>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</si>
  <si>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</si>
  <si>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</si>
  <si>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</si>
  <si>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</si>
  <si>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</si>
  <si>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</si>
  <si>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</si>
  <si>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</si>
  <si>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</si>
  <si>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</si>
  <si>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</si>
  <si>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</si>
  <si>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</si>
  <si>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</si>
  <si>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</si>
  <si>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</si>
  <si>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</si>
  <si>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</si>
  <si>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</si>
  <si>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</si>
  <si>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</si>
  <si>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</si>
  <si>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</si>
  <si>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</si>
  <si>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</si>
  <si>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</si>
  <si>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</si>
  <si>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</si>
  <si>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</si>
  <si>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</si>
  <si>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</si>
  <si>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</si>
  <si>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</si>
  <si>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</si>
  <si>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</si>
  <si>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</si>
  <si>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</si>
  <si>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</si>
  <si>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</si>
  <si>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</si>
  <si>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</si>
  <si>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</si>
  <si>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</si>
  <si>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</si>
  <si>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</si>
  <si>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</si>
  <si>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</si>
  <si>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</si>
  <si>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</si>
  <si>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</si>
  <si>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</si>
  <si>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</si>
  <si>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</si>
  <si>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</si>
  <si>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</si>
  <si>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</si>
  <si>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</si>
  <si>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</si>
  <si>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</si>
  <si>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</si>
  <si>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</si>
  <si>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</si>
  <si>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</si>
  <si>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</si>
  <si>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</si>
  <si>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</si>
  <si>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</si>
  <si>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</si>
  <si>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</si>
  <si>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</si>
  <si>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</si>
  <si>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</si>
  <si>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</si>
  <si>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</si>
  <si>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</si>
  <si>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</si>
  <si>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</si>
  <si>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</si>
  <si>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</si>
  <si>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</si>
  <si>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</si>
  <si>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</si>
  <si>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</si>
  <si>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</si>
  <si>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</si>
  <si>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</si>
  <si>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</si>
  <si>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</si>
  <si>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</si>
  <si>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</si>
  <si>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</si>
  <si>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</si>
  <si>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</si>
  <si>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</si>
  <si>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</si>
  <si>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</si>
  <si>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</si>
  <si>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</si>
  <si>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</si>
  <si>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</si>
  <si>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</si>
  <si>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</si>
  <si>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</si>
  <si>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</si>
  <si>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</si>
  <si>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</si>
  <si>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</si>
  <si>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</si>
  <si>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</si>
  <si>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</si>
  <si>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</si>
  <si>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</si>
  <si>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</si>
  <si>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</si>
  <si>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</si>
  <si>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</si>
  <si>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</si>
  <si>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</si>
  <si>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</si>
  <si>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</si>
  <si>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</si>
  <si>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</si>
  <si>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</si>
  <si>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</si>
  <si>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</si>
  <si>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</si>
  <si>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</si>
  <si>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</si>
  <si>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</si>
  <si>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</si>
  <si>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</si>
  <si>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</si>
  <si>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</si>
  <si>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</si>
  <si>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</si>
  <si>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</si>
  <si>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</si>
  <si>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</si>
  <si>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</si>
  <si>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</si>
  <si>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</si>
  <si>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</si>
  <si>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</si>
  <si>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</si>
  <si>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</si>
  <si>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</si>
  <si>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</si>
  <si>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</si>
  <si>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</si>
  <si>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</si>
  <si>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</si>
  <si>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</si>
  <si>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</si>
  <si>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</si>
  <si>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</si>
  <si>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</si>
  <si>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</si>
  <si>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</si>
  <si>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</si>
  <si>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</si>
  <si>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</si>
  <si>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</si>
  <si>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</si>
  <si>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</si>
  <si>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</si>
  <si>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</si>
  <si>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</si>
  <si>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</si>
  <si>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</si>
  <si>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</si>
  <si>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</si>
  <si>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</si>
  <si>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</si>
  <si>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</si>
  <si>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</si>
  <si>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</si>
  <si>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</si>
  <si>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</si>
  <si>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</si>
  <si>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</si>
  <si>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</si>
  <si>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</si>
  <si>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</si>
  <si>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</si>
  <si>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</si>
  <si>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</si>
  <si>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</si>
  <si>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</si>
  <si>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</si>
  <si>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</si>
  <si>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</si>
  <si>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</si>
  <si>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</si>
  <si>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</si>
  <si>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</si>
  <si>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</si>
  <si>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</si>
  <si>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</si>
  <si>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</si>
  <si>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</si>
  <si>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</si>
  <si>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</si>
  <si>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</si>
  <si>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</si>
  <si>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</si>
  <si>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</si>
  <si>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</si>
  <si>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</si>
  <si>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</si>
  <si>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</si>
  <si>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</si>
  <si>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</si>
  <si>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</si>
  <si>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</si>
  <si>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</si>
  <si>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</si>
  <si>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</si>
  <si>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</si>
  <si>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</si>
  <si>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</si>
  <si>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</si>
  <si>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</si>
  <si>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</si>
  <si>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</si>
  <si>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</si>
  <si>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</si>
  <si>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</si>
  <si>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</si>
  <si>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</si>
  <si>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</si>
  <si>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</si>
  <si>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</si>
  <si>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</si>
  <si>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</si>
  <si>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</si>
  <si>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</si>
  <si>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</si>
  <si>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</si>
  <si>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</si>
  <si>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</si>
  <si>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</si>
  <si>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</si>
  <si>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</si>
  <si>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</si>
  <si>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</si>
  <si>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</si>
  <si>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</si>
  <si>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</si>
  <si>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</si>
  <si>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</si>
  <si>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</si>
  <si>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</si>
  <si>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</si>
  <si>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</si>
  <si>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</si>
  <si>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</si>
  <si>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</si>
  <si>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</si>
  <si>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</si>
  <si>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</si>
  <si>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</si>
  <si>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</si>
  <si>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</si>
  <si>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</si>
  <si>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</si>
  <si>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</si>
  <si>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</si>
  <si>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</si>
  <si>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</si>
  <si>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</si>
  <si>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</si>
  <si>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</si>
  <si>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</si>
  <si>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</si>
  <si>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</si>
  <si>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</si>
  <si>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</si>
  <si>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</si>
  <si>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</si>
  <si>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</si>
  <si>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</si>
  <si>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</si>
  <si>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</si>
  <si>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</si>
  <si>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</si>
  <si>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</si>
  <si>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</si>
  <si>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</si>
  <si>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</si>
  <si>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</si>
  <si>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</si>
  <si>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</si>
  <si>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</si>
  <si>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</si>
  <si>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</si>
  <si>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</si>
  <si>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</si>
  <si>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</si>
  <si>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</si>
  <si>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</si>
  <si>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</si>
  <si>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</si>
  <si>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</si>
  <si>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</si>
  <si>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</si>
  <si>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</si>
  <si>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</si>
  <si>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</si>
  <si>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</si>
  <si>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</si>
  <si>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</si>
  <si>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</si>
  <si>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</si>
  <si>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</si>
  <si>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</si>
  <si>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</si>
  <si>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</si>
  <si>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</si>
  <si>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</si>
  <si>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</si>
  <si>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</si>
  <si>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</si>
  <si>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</si>
  <si>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</si>
  <si>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</si>
  <si>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</si>
  <si>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</si>
  <si>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</si>
  <si>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</si>
  <si>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</si>
  <si>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</si>
  <si>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</si>
  <si>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</si>
  <si>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</si>
  <si>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</si>
  <si>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</si>
  <si>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</si>
  <si>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</si>
  <si>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</si>
  <si>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</si>
  <si>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</si>
  <si>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</si>
  <si>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</si>
  <si>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</si>
  <si>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</si>
  <si>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</si>
  <si>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</si>
  <si>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</si>
  <si>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</si>
  <si>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</si>
  <si>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</si>
  <si>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</si>
  <si>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</si>
  <si>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</si>
  <si>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</si>
  <si>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</si>
  <si>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</si>
  <si>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</si>
  <si>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</si>
  <si>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</si>
  <si>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</si>
  <si>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</si>
  <si>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</si>
  <si>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</si>
  <si>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</si>
  <si>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</si>
  <si>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</si>
  <si>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</si>
  <si>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</si>
  <si>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</si>
  <si>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</si>
  <si>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</si>
  <si>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</si>
  <si>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</si>
  <si>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</si>
  <si>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</si>
  <si>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</si>
  <si>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</si>
  <si>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</si>
  <si>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</si>
  <si>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</si>
  <si>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</si>
  <si>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</si>
  <si>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</si>
  <si>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</si>
  <si>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</si>
  <si>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</si>
  <si>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</si>
  <si>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</si>
  <si>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</si>
  <si>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</si>
  <si>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</si>
  <si>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</si>
  <si>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</si>
  <si>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</si>
  <si>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</si>
  <si>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</si>
  <si>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</si>
  <si>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</si>
  <si>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</si>
  <si>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</si>
  <si>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</si>
  <si>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</si>
  <si>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</si>
  <si>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</si>
  <si>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</si>
  <si>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</si>
  <si>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</si>
  <si>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</si>
  <si>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</si>
  <si>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</si>
  <si>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</si>
  <si>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</si>
  <si>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</si>
  <si>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</si>
  <si>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</si>
  <si>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</si>
  <si>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</si>
  <si>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</si>
  <si>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</si>
  <si>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</si>
  <si>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</si>
  <si>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</si>
  <si>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</si>
  <si>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</si>
  <si>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</si>
  <si>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</si>
  <si>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</si>
  <si>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</si>
  <si>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</si>
  <si>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</si>
  <si>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</si>
  <si>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</si>
  <si>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</si>
  <si>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</si>
  <si>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</si>
  <si>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</si>
  <si>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</si>
  <si>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</si>
  <si>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</si>
  <si>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</si>
  <si>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</si>
  <si>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</si>
  <si>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</si>
  <si>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</si>
  <si>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</si>
  <si>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</si>
  <si>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</si>
  <si>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</si>
  <si>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</si>
  <si>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</si>
  <si>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</si>
  <si>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</si>
  <si>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</si>
  <si>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</si>
  <si>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</si>
  <si>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</si>
  <si>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</si>
  <si>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</si>
  <si>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</si>
  <si>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</si>
  <si>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</si>
  <si>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</si>
  <si>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</si>
  <si>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</si>
  <si>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</si>
  <si>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</si>
  <si>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</si>
  <si>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</si>
  <si>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</si>
  <si>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</si>
  <si>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</si>
  <si>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</si>
  <si>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</si>
  <si>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</si>
  <si>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</si>
  <si>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</si>
  <si>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</si>
  <si>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</si>
  <si>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</si>
  <si>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</si>
  <si>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</si>
  <si>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</si>
  <si>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</si>
  <si>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</si>
  <si>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</si>
  <si>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</si>
  <si>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</si>
  <si>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</si>
  <si>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</si>
  <si>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</si>
  <si>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</si>
  <si>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</si>
  <si>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</si>
  <si>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</si>
  <si>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</si>
  <si>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</si>
  <si>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</si>
  <si>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</si>
  <si>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</si>
  <si>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</si>
  <si>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</si>
  <si>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</si>
  <si>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</si>
  <si>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</si>
  <si>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</si>
  <si>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</si>
  <si>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</si>
  <si>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</si>
  <si>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</si>
  <si>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</si>
  <si>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</si>
  <si>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</si>
  <si>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</si>
  <si>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</si>
  <si>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</si>
  <si>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</si>
  <si>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</si>
  <si>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</si>
  <si>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</si>
  <si>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</si>
  <si>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</si>
  <si>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</si>
  <si>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</si>
  <si>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</si>
  <si>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</si>
  <si>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</si>
  <si>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</si>
  <si>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</si>
  <si>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</si>
  <si>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</si>
  <si>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</si>
  <si>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</si>
  <si>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</si>
  <si>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</si>
  <si>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</si>
  <si>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</si>
  <si>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</si>
  <si>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</si>
  <si>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</si>
  <si>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</si>
  <si>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</si>
  <si>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</si>
  <si>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</si>
  <si>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</si>
  <si>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</si>
  <si>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</si>
  <si>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</si>
  <si>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</si>
  <si>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</si>
  <si>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</si>
  <si>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</si>
  <si>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</si>
  <si>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</si>
  <si>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</si>
  <si>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</si>
  <si>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</si>
  <si>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</si>
  <si>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</si>
  <si>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</si>
  <si>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</si>
  <si>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</si>
  <si>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</si>
  <si>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</si>
  <si>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</si>
  <si>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</si>
  <si>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</si>
  <si>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</si>
  <si>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</si>
  <si>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</si>
  <si>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</si>
  <si>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</si>
  <si>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</si>
  <si>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</si>
  <si>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</si>
  <si>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</si>
  <si>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</si>
  <si>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</si>
  <si>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</si>
  <si>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</si>
  <si>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</si>
  <si>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</si>
  <si>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</si>
  <si>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</si>
  <si>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</si>
  <si>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</si>
  <si>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</si>
  <si>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</si>
  <si>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</si>
  <si>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</si>
  <si>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</si>
  <si>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</si>
  <si>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</si>
  <si>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</si>
  <si>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</si>
  <si>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</si>
  <si>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</si>
  <si>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</si>
  <si>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</si>
  <si>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</si>
  <si>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</si>
  <si>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</si>
  <si>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</si>
  <si>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</si>
  <si>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</si>
  <si>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</si>
  <si>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</si>
  <si>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</si>
  <si>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</si>
  <si>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</si>
  <si>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</si>
  <si>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</si>
  <si>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</si>
  <si>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</si>
  <si>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</si>
  <si>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</si>
  <si>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</si>
  <si>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</si>
  <si>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</si>
  <si>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</si>
  <si>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</si>
  <si>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</si>
  <si>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</si>
  <si>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</si>
  <si>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</si>
  <si>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</si>
  <si>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</si>
  <si>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</si>
  <si>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</si>
  <si>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</si>
  <si>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</si>
  <si>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</si>
  <si>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</si>
  <si>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</si>
  <si>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</si>
  <si>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</si>
  <si>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</si>
  <si>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</si>
  <si>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</si>
  <si>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</si>
  <si>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</si>
  <si>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</si>
  <si>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</si>
  <si>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</si>
  <si>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</si>
  <si>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</si>
  <si>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</si>
  <si>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</si>
  <si>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</si>
  <si>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</si>
  <si>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</si>
  <si>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</si>
  <si>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</si>
  <si>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</si>
  <si>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</si>
  <si>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</si>
  <si>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</si>
  <si>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</si>
  <si>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</si>
  <si>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</si>
  <si>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</si>
  <si>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</si>
  <si>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</si>
  <si>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</si>
  <si>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</si>
  <si>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</si>
  <si>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</si>
  <si>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</si>
  <si>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</si>
  <si>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</si>
  <si>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</si>
  <si>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</si>
  <si>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</si>
  <si>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</si>
  <si>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</si>
  <si>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</si>
  <si>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</si>
  <si>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</si>
  <si>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</si>
  <si>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</si>
  <si>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</si>
  <si>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</si>
  <si>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</si>
  <si>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</si>
  <si>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</si>
  <si>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</si>
  <si>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</si>
  <si>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</si>
  <si>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</si>
  <si>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</si>
  <si>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</si>
  <si>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</si>
  <si>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</si>
  <si>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</si>
  <si>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</si>
  <si>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</si>
  <si>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</si>
  <si>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</si>
  <si>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</si>
  <si>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</si>
  <si>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</si>
  <si>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</si>
  <si>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</si>
  <si>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</si>
  <si>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</si>
  <si>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</si>
  <si>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</si>
  <si>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</si>
  <si>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</si>
  <si>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</si>
  <si>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</si>
  <si>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</si>
  <si>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</si>
  <si>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</si>
  <si>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</si>
  <si>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</si>
  <si>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</si>
  <si>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</si>
  <si>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</si>
  <si>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</si>
  <si>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</si>
  <si>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</si>
  <si>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</si>
  <si>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</si>
  <si>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</si>
  <si>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</si>
  <si>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</si>
  <si>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</si>
  <si>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</si>
  <si>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</si>
  <si>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</si>
  <si>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</si>
  <si>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</si>
  <si>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</si>
  <si>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</si>
  <si>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</si>
  <si>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</si>
  <si>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</si>
  <si>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</si>
  <si>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</si>
  <si>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</si>
  <si>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</si>
  <si>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</si>
  <si>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</si>
  <si>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</si>
  <si>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</si>
  <si>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</si>
  <si>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</si>
  <si>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</si>
  <si>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</si>
  <si>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</si>
  <si>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</si>
  <si>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</si>
  <si>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</si>
  <si>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</si>
  <si>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</si>
  <si>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</si>
  <si>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</si>
  <si>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</si>
  <si>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</si>
  <si>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</si>
  <si>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</si>
  <si>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</si>
  <si>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</si>
  <si>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</si>
  <si>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</si>
  <si>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</si>
  <si>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</si>
  <si>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</si>
  <si>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</si>
  <si>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</si>
  <si>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</si>
  <si>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</si>
  <si>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</si>
  <si>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</si>
  <si>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</si>
  <si>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</si>
  <si>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</si>
  <si>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</si>
  <si>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</si>
  <si>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</si>
  <si>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</si>
  <si>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</si>
  <si>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</si>
  <si>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</si>
  <si>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</si>
  <si>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</si>
  <si>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</si>
  <si>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</si>
  <si>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</si>
  <si>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</si>
  <si>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</si>
  <si>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</si>
  <si>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</si>
  <si>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</si>
  <si>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</si>
  <si>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</si>
  <si>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</si>
  <si>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</si>
  <si>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</si>
  <si>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</si>
  <si>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</si>
  <si>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</si>
  <si>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</si>
  <si>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</si>
  <si>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</si>
  <si>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</si>
  <si>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</si>
  <si>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</si>
  <si>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</si>
  <si>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</si>
  <si>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</si>
  <si>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</si>
  <si>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</si>
  <si>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</si>
  <si>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</si>
  <si>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</si>
  <si>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</si>
  <si>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</si>
  <si>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</si>
  <si>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</si>
  <si>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</si>
  <si>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</si>
  <si>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</si>
  <si>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</si>
  <si>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</si>
  <si>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</si>
  <si>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</si>
  <si>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</si>
  <si>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</si>
  <si>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</si>
  <si>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</si>
  <si>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</si>
  <si>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</si>
  <si>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</si>
  <si>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</si>
  <si>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</si>
  <si>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</si>
  <si>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</si>
  <si>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</si>
  <si>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01/01/2023 - 11/17/2025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</si>
  <si>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</si>
  <si>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</si>
  <si>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</si>
  <si>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</si>
  <si>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</si>
  <si>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</si>
  <si>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</si>
  <si>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</si>
  <si>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</si>
  <si>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</si>
  <si>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</si>
  <si>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</si>
  <si>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</si>
  <si>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</si>
  <si>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</si>
  <si>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</si>
  <si>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</si>
  <si>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</si>
  <si>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</si>
  <si>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</si>
  <si>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</si>
  <si>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</si>
  <si>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</si>
  <si>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</si>
  <si>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</si>
  <si>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</si>
  <si>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</si>
  <si>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</si>
  <si>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</si>
  <si>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</si>
  <si>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</si>
  <si>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</si>
  <si>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</si>
  <si>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</si>
  <si>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</si>
  <si>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</si>
  <si>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</si>
  <si>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</si>
  <si>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</si>
  <si>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</si>
  <si>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</si>
  <si>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r>
      <t xml:space="preserve">WARN REPORT - </t>
    </r>
    <r>
      <rPr>
        <b/>
        <sz val="12"/>
        <rFont val="Calibri"/>
        <family val="2"/>
        <scheme val="minor"/>
      </rPr>
      <t>07/01/25 to 11/17/2025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I734.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</si>
</sst>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34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36700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53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158</v>
      </c>
    </row>
    <row r="8" spans="1:2" x14ac:dyDescent="0.35">
      <c r="A8" s="2" t="s">
        <v>13</v>
      </c>
      <c r="B8" s="11">
        <f>COUNTIF('Detailed WARN Report '!F:F,"Closure Temporary")</f>
        <v>10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34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6328125" style="8" bestFit="1" customWidth="1"/>
    <col min="3" max="3" width="9.36328125" style="8" bestFit="1" customWidth="1"/>
    <col min="4" max="4" width="7.90625" style="8" bestFit="1" customWidth="1"/>
    <col min="5" max="5" width="65.81640625" style="10" bestFit="1" customWidth="1"/>
    <col min="6" max="6" width="21.26953125" style="3" bestFit="1" customWidth="1"/>
    <col min="7" max="7" width="9.81640625" style="3" customWidth="1"/>
    <col min="8" max="8" width="58.90625" style="3" bestFit="1" customWidth="1"/>
    <col min="9" max="9" width="49.453125" style="3" bestFit="1" customWidth="1"/>
  </cols>
  <sheetData>
    <row r="1" spans="1:9" ht="100" x14ac:dyDescent="0.35">
      <c r="A1" s="16" t="s">
        <v>1329</v>
      </c>
      <c r="E1" s="3"/>
    </row>
    <row r="2" spans="1:9" ht="35.5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46026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1288</v>
      </c>
      <c r="F712" s="32" t="s">
        <v>54</v>
      </c>
      <c r="G712" s="34">
        <v>48</v>
      </c>
      <c r="H712" s="34" t="s">
        <v>1289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1288</v>
      </c>
      <c r="F713" s="32" t="s">
        <v>54</v>
      </c>
      <c r="G713" s="34">
        <v>9</v>
      </c>
      <c r="H713" s="34" t="s">
        <v>1290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1288</v>
      </c>
      <c r="F714" s="32" t="s">
        <v>54</v>
      </c>
      <c r="G714" s="34">
        <v>2</v>
      </c>
      <c r="H714" s="34" t="s">
        <v>1291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1292</v>
      </c>
      <c r="F715" s="32" t="s">
        <v>6</v>
      </c>
      <c r="G715" s="34">
        <v>32</v>
      </c>
      <c r="H715" s="34" t="s">
        <v>1293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1294</v>
      </c>
      <c r="F716" s="32" t="s">
        <v>6</v>
      </c>
      <c r="G716" s="34">
        <v>101</v>
      </c>
      <c r="H716" s="34" t="s">
        <v>1295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1296</v>
      </c>
      <c r="F717" s="32" t="s">
        <v>6</v>
      </c>
      <c r="G717" s="34">
        <v>4</v>
      </c>
      <c r="H717" s="34" t="s">
        <v>1297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1298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1299</v>
      </c>
      <c r="F719" s="32" t="s">
        <v>6</v>
      </c>
      <c r="G719" s="34">
        <v>48</v>
      </c>
      <c r="H719" s="34" t="s">
        <v>1300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1301</v>
      </c>
      <c r="F720" s="32" t="s">
        <v>6</v>
      </c>
      <c r="G720" s="34">
        <v>89</v>
      </c>
      <c r="H720" s="34" t="s">
        <v>1302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1303</v>
      </c>
      <c r="F721" s="32" t="s">
        <v>58</v>
      </c>
      <c r="G721" s="34">
        <v>100</v>
      </c>
      <c r="H721" s="34" t="s">
        <v>1304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1305</v>
      </c>
      <c r="F722" s="32" t="s">
        <v>54</v>
      </c>
      <c r="G722" s="34">
        <v>128</v>
      </c>
      <c r="H722" s="34" t="s">
        <v>1306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1307</v>
      </c>
      <c r="F723" s="32" t="s">
        <v>54</v>
      </c>
      <c r="G723" s="34">
        <v>69</v>
      </c>
      <c r="H723" s="34" t="s">
        <v>1308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1309</v>
      </c>
      <c r="F724" s="32" t="s">
        <v>54</v>
      </c>
      <c r="G724" s="34">
        <v>48</v>
      </c>
      <c r="H724" s="34" t="s">
        <v>1310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1311</v>
      </c>
      <c r="F725" s="32" t="s">
        <v>54</v>
      </c>
      <c r="G725" s="34">
        <v>123</v>
      </c>
      <c r="H725" s="34" t="s">
        <v>1312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1313</v>
      </c>
      <c r="F727" s="32" t="s">
        <v>6</v>
      </c>
      <c r="G727" s="34">
        <v>61</v>
      </c>
      <c r="H727" s="34" t="s">
        <v>1314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1315</v>
      </c>
      <c r="F728" s="32" t="s">
        <v>6</v>
      </c>
      <c r="G728" s="34">
        <v>34</v>
      </c>
      <c r="H728" s="34" t="s">
        <v>1316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1317</v>
      </c>
      <c r="F729" s="32" t="s">
        <v>6</v>
      </c>
      <c r="G729" s="34">
        <v>4</v>
      </c>
      <c r="H729" s="34" t="s">
        <v>1318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1319</v>
      </c>
      <c r="F730" s="32" t="s">
        <v>6</v>
      </c>
      <c r="G730" s="34">
        <v>7</v>
      </c>
      <c r="H730" s="34" t="s">
        <v>1320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1321</v>
      </c>
      <c r="F731" s="32" t="s">
        <v>6</v>
      </c>
      <c r="G731" s="34">
        <v>3</v>
      </c>
      <c r="H731" s="34" t="s">
        <v>1322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1323</v>
      </c>
      <c r="F732" s="32" t="s">
        <v>6</v>
      </c>
      <c r="G732" s="34">
        <v>10</v>
      </c>
      <c r="H732" s="34" t="s">
        <v>1324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1325</v>
      </c>
      <c r="F733" s="32" t="s">
        <v>54</v>
      </c>
      <c r="G733" s="34">
        <v>260</v>
      </c>
      <c r="H733" s="34" t="s">
        <v>1326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1327</v>
      </c>
      <c r="F734" s="32" t="s">
        <v>6</v>
      </c>
      <c r="G734" s="34">
        <v>89</v>
      </c>
      <c r="H734" s="34" t="s">
        <v>1328</v>
      </c>
      <c r="I734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I3:I734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1287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2025-11-18T16:50:34Z</dcterms:modified>
  <cp:category>Calculating WARN Report</cp:category>
</cp:coreProperties>
</file>