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FE54DC92-6832-46F0-BB4D-15129015AF89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<sst xmlns="http://schemas.openxmlformats.org/spreadsheetml/2006/main" count="3476" uniqueCount="1241">
  <si>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</si>
  <si>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</si>
  <si>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</si>
  <si>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</si>
  <si>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</si>
  <si>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</si>
  <si>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</si>
  <si>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</si>
  <si>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</si>
  <si>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</si>
  <si>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</si>
  <si>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</si>
  <si>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</si>
  <si>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</si>
  <si>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</si>
  <si>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</si>
  <si>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</si>
  <si>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</si>
  <si>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</si>
  <si>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</si>
  <si>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</si>
  <si>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</si>
  <si>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</si>
  <si>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</si>
  <si>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</si>
  <si>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</si>
  <si>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</si>
  <si>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</si>
  <si>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</si>
  <si>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</si>
  <si>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</si>
  <si>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</si>
  <si>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</si>
  <si>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</si>
  <si>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</si>
  <si>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</si>
  <si>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</si>
  <si>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</si>
  <si>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</si>
  <si>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</si>
  <si>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</si>
  <si>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</si>
  <si>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</si>
  <si>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</si>
  <si>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</si>
  <si>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</si>
  <si>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</si>
  <si>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</si>
  <si>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</si>
  <si>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</si>
  <si>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</si>
  <si>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</si>
  <si>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</si>
  <si>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</si>
  <si>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</si>
  <si>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</si>
  <si>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</si>
  <si>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</si>
  <si>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</si>
  <si>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</si>
  <si>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</si>
  <si>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</si>
  <si>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</si>
  <si>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</si>
  <si>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</si>
  <si>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</si>
  <si>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</si>
  <si>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</si>
  <si>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</si>
  <si>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</si>
  <si>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</si>
  <si>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</si>
  <si>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</si>
  <si>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</si>
  <si>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</si>
  <si>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</si>
  <si>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</si>
  <si>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</si>
  <si>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</si>
  <si>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</si>
  <si>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</si>
  <si>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</si>
  <si>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</si>
  <si>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</si>
  <si>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</si>
  <si>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</si>
  <si>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</si>
  <si>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</si>
  <si>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</si>
  <si>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</si>
  <si>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</si>
  <si>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</si>
  <si>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</si>
  <si>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</si>
  <si>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</si>
  <si>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</si>
  <si>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</si>
  <si>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</si>
  <si>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</si>
  <si>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</si>
  <si>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</si>
  <si>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</si>
  <si>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</si>
  <si>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</si>
  <si>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</si>
  <si>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</si>
  <si>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</si>
  <si>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</si>
  <si>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</si>
  <si>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</si>
  <si>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</si>
  <si>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</si>
  <si>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</si>
  <si>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</si>
  <si>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</si>
  <si>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</si>
  <si>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</si>
  <si>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</si>
  <si>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</si>
  <si>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</si>
  <si>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</si>
  <si>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</si>
  <si>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</si>
  <si>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</si>
  <si>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</si>
  <si>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</si>
  <si>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</si>
  <si>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</si>
  <si>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</si>
  <si>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</si>
  <si>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</si>
  <si>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</si>
  <si>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</si>
  <si>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</si>
  <si>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</si>
  <si>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</si>
  <si>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</si>
  <si>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</si>
  <si>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</si>
  <si>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</si>
  <si>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</si>
  <si>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</si>
  <si>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</si>
  <si>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</si>
  <si>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</si>
  <si>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</si>
  <si>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</si>
  <si>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</si>
  <si>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</si>
  <si>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</si>
  <si>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</si>
  <si>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</si>
  <si>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</si>
  <si>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</si>
  <si>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</si>
  <si>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</si>
  <si>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</si>
  <si>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</si>
  <si>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</si>
  <si>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</si>
  <si>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</si>
  <si>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</si>
  <si>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</si>
  <si>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</si>
  <si>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</si>
  <si>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</si>
  <si>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</si>
  <si>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</si>
  <si>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</si>
  <si>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</si>
  <si>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</si>
  <si>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</si>
  <si>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</si>
  <si>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</si>
  <si>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</si>
  <si>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</si>
  <si>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</si>
  <si>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</si>
  <si>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</si>
  <si>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</si>
  <si>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</si>
  <si>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</si>
  <si>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</si>
  <si>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</si>
  <si>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</si>
  <si>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</si>
  <si>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</si>
  <si>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</si>
  <si>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</si>
  <si>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</si>
  <si>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</si>
  <si>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</si>
  <si>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</si>
  <si>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</si>
  <si>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</si>
  <si>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</si>
  <si>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</si>
  <si>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</si>
  <si>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</si>
  <si>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</si>
  <si>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</si>
  <si>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</si>
  <si>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</si>
  <si>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</si>
  <si>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</si>
  <si>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</si>
  <si>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</si>
  <si>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</si>
  <si>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</si>
  <si>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</si>
  <si>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</si>
  <si>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</si>
  <si>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</si>
  <si>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</si>
  <si>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</si>
  <si>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</si>
  <si>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</si>
  <si>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</si>
  <si>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</si>
  <si>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</si>
  <si>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</si>
  <si>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</si>
  <si>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</si>
  <si>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</si>
  <si>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</si>
  <si>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</si>
  <si>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</si>
  <si>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</si>
  <si>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</si>
  <si>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</si>
  <si>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</si>
  <si>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</si>
  <si>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</si>
  <si>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</si>
  <si>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</si>
  <si>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</si>
  <si>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</si>
  <si>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</si>
  <si>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</si>
  <si>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</si>
  <si>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</si>
  <si>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</si>
  <si>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</si>
  <si>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</si>
  <si>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</si>
  <si>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</si>
  <si>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</si>
  <si>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</si>
  <si>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</si>
  <si>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</si>
  <si>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</si>
  <si>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</si>
  <si>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</si>
  <si>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</si>
  <si>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</si>
  <si>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</si>
  <si>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</si>
  <si>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</si>
  <si>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</si>
  <si>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</si>
  <si>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</si>
  <si>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</si>
  <si>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</si>
  <si>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</si>
  <si>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</si>
  <si>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</si>
  <si>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</si>
  <si>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</si>
  <si>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</si>
  <si>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</si>
  <si>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</si>
  <si>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</si>
  <si>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</si>
  <si>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</si>
  <si>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</si>
  <si>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</si>
  <si>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</si>
  <si>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</si>
  <si>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</si>
  <si>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</si>
  <si>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</si>
  <si>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</si>
  <si>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</si>
  <si>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</si>
  <si>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</si>
  <si>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</si>
  <si>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</si>
  <si>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</si>
  <si>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</si>
  <si>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</si>
  <si>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</si>
  <si>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</si>
  <si>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</si>
  <si>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</si>
  <si>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</si>
  <si>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</si>
  <si>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</si>
  <si>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</si>
  <si>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</si>
  <si>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</si>
  <si>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</si>
  <si>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</si>
  <si>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</si>
  <si>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</si>
  <si>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</si>
  <si>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</si>
  <si>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</si>
  <si>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</si>
  <si>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</si>
  <si>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</si>
  <si>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</si>
  <si>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</si>
  <si>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</si>
  <si>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</si>
  <si>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</si>
  <si>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</si>
  <si>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</si>
  <si>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</si>
  <si>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</si>
  <si>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</si>
  <si>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</si>
  <si>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</si>
  <si>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</si>
  <si>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</si>
  <si>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</si>
  <si>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</si>
  <si>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</si>
  <si>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</si>
  <si>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</si>
  <si>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</si>
  <si>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</si>
  <si>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</si>
  <si>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</si>
  <si>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</si>
  <si>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</si>
  <si>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</si>
  <si>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</si>
  <si>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</si>
  <si>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</si>
  <si>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</si>
  <si>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</si>
  <si>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</si>
  <si>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</si>
  <si>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</si>
  <si>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</si>
  <si>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</si>
  <si>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</si>
  <si>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</si>
  <si>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</si>
  <si>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</si>
  <si>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</si>
  <si>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</si>
  <si>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</si>
  <si>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</si>
  <si>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</si>
  <si>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</si>
  <si>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</si>
  <si>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</si>
  <si>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</si>
  <si>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</si>
  <si>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</si>
  <si>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</si>
  <si>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</si>
  <si>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</si>
  <si>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</si>
  <si>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</si>
  <si>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</si>
  <si>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</si>
  <si>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</si>
  <si>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</si>
  <si>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</si>
  <si>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</si>
  <si>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</si>
  <si>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</si>
  <si>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</si>
  <si>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</si>
  <si>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</si>
  <si>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</si>
  <si>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</si>
  <si>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</si>
  <si>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</si>
  <si>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</si>
  <si>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</si>
  <si>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</si>
  <si>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</si>
  <si>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</si>
  <si>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</si>
  <si>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</si>
  <si>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</si>
  <si>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</si>
  <si>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</si>
  <si>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</si>
  <si>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</si>
  <si>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</si>
  <si>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</si>
  <si>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</si>
  <si>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</si>
  <si>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</si>
  <si>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</si>
  <si>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</si>
  <si>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</si>
  <si>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</si>
  <si>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</si>
  <si>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</si>
  <si>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</si>
  <si>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</si>
  <si>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</si>
  <si>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</si>
  <si>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</si>
  <si>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</si>
  <si>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</si>
  <si>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</si>
  <si>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</si>
  <si>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</si>
  <si>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</si>
  <si>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</si>
  <si>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</si>
  <si>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</si>
  <si>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</si>
  <si>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</si>
  <si>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</si>
  <si>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</si>
  <si>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</si>
  <si>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</si>
  <si>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</si>
  <si>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</si>
  <si>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</si>
  <si>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</si>
  <si>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</si>
  <si>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</si>
  <si>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</si>
  <si>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</si>
  <si>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</si>
  <si>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</si>
  <si>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</si>
  <si>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</si>
  <si>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</si>
  <si>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</si>
  <si>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</si>
  <si>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</si>
  <si>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</si>
  <si>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</si>
  <si>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</si>
  <si>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</si>
  <si>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</si>
  <si>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</si>
  <si>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</si>
  <si>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</si>
  <si>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</si>
  <si>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</si>
  <si>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</si>
  <si>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</si>
  <si>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</si>
  <si>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</si>
  <si>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</si>
  <si>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</si>
  <si>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</si>
  <si>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</si>
  <si>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</si>
  <si>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</si>
  <si>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</si>
  <si>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</si>
  <si>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</si>
  <si>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</si>
  <si>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</si>
  <si>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</si>
  <si>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</si>
  <si>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</si>
  <si>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</si>
  <si>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</si>
  <si>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</si>
  <si>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</si>
  <si>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</si>
  <si>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</si>
  <si>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</si>
  <si>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</si>
  <si>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</si>
  <si>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</si>
  <si>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</si>
  <si>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</si>
  <si>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</si>
  <si>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</si>
  <si>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</si>
  <si>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</si>
  <si>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</si>
  <si>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</si>
  <si>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</si>
  <si>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</si>
  <si>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</si>
  <si>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</si>
  <si>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</si>
  <si>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</si>
  <si>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</si>
  <si>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</si>
  <si>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</si>
  <si>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</si>
  <si>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</si>
  <si>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</si>
  <si>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</si>
  <si>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</si>
  <si>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</si>
  <si>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</si>
  <si>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</si>
  <si>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</si>
  <si>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</si>
  <si>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</si>
  <si>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</si>
  <si>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</si>
  <si>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</si>
  <si>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</si>
  <si>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</si>
  <si>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</si>
  <si>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</si>
  <si>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</si>
  <si>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</si>
  <si>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</si>
  <si>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</si>
  <si>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</si>
  <si>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</si>
  <si>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</si>
  <si>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</si>
  <si>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</si>
  <si>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</si>
  <si>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</si>
  <si>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</si>
  <si>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</si>
  <si>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</si>
  <si>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</si>
  <si>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</si>
  <si>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</si>
  <si>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</si>
  <si>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</si>
  <si>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</si>
  <si>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</si>
  <si>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</si>
  <si>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</si>
  <si>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</si>
  <si>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</si>
  <si>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</si>
  <si>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</si>
  <si>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</si>
  <si>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</si>
  <si>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</si>
  <si>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</si>
  <si>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</si>
  <si>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</si>
  <si>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</si>
  <si>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</si>
  <si>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</si>
  <si>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</si>
  <si>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</si>
  <si>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</si>
  <si>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</si>
  <si>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</si>
  <si>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</si>
  <si>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</si>
  <si>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</si>
  <si>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</si>
  <si>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</si>
  <si>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</si>
  <si>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</si>
  <si>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</si>
  <si>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</si>
  <si>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</si>
  <si>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</si>
  <si>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</si>
  <si>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</si>
  <si>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</si>
  <si>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</si>
  <si>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</si>
  <si>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</si>
  <si>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</si>
  <si>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</si>
  <si>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</si>
  <si>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</si>
  <si>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</si>
  <si>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</si>
  <si>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</si>
  <si>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</si>
  <si>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</si>
  <si>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</si>
  <si>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</si>
  <si>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</si>
  <si>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</si>
  <si>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</si>
  <si>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</si>
  <si>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</si>
  <si>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</si>
  <si>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</si>
  <si>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</si>
  <si>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</si>
  <si>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</si>
  <si>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</si>
  <si>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</si>
  <si>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</si>
  <si>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</si>
  <si>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</si>
  <si>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</si>
  <si>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</si>
  <si>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</si>
  <si>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</si>
  <si>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</si>
  <si>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</si>
  <si>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</si>
  <si>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</si>
  <si>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</si>
  <si>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</si>
  <si>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</si>
  <si>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</si>
  <si>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</si>
  <si>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</si>
  <si>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</si>
  <si>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</si>
  <si>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</si>
  <si>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</si>
  <si>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</si>
  <si>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</si>
  <si>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</si>
  <si>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</si>
  <si>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</si>
  <si>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</si>
  <si>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</si>
  <si>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</si>
  <si>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</si>
  <si>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</si>
  <si>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</si>
  <si>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</si>
  <si>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</si>
  <si>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</si>
  <si>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</si>
  <si>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</si>
  <si>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</si>
  <si>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</si>
  <si>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</si>
  <si>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</si>
  <si>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</si>
  <si>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</si>
  <si>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</si>
  <si>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</si>
  <si>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</si>
  <si>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</si>
  <si>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</si>
  <si>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</si>
  <si>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</si>
  <si>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</si>
  <si>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</si>
  <si>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</si>
  <si>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</si>
  <si>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</si>
  <si>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</si>
  <si>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</si>
  <si>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</si>
  <si>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</si>
  <si>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</si>
  <si>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</si>
  <si>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</si>
  <si>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</si>
  <si>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</si>
  <si>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</si>
  <si>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</si>
  <si>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</si>
  <si>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</si>
  <si>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</si>
  <si>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</si>
  <si>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</si>
  <si>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</si>
  <si>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</si>
  <si>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</si>
  <si>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</si>
  <si>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</si>
  <si>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</si>
  <si>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</si>
  <si>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</si>
  <si>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</si>
  <si>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</si>
  <si>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</si>
  <si>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</si>
  <si>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</si>
  <si>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</si>
  <si>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</si>
  <si>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</si>
  <si>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</si>
  <si>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</si>
  <si>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</si>
  <si>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</si>
  <si>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</si>
  <si>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</si>
  <si>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</si>
  <si>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</si>
  <si>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</si>
  <si>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</si>
  <si>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</si>
  <si>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</si>
  <si>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</si>
  <si>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</si>
  <si>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</si>
  <si>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</si>
  <si>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</si>
  <si>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</si>
  <si>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</si>
  <si>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</si>
  <si>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</si>
  <si>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</si>
  <si>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</si>
  <si>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</si>
  <si>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</si>
  <si>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</si>
  <si>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</si>
  <si>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</si>
  <si>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</si>
  <si>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</si>
  <si>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</si>
  <si>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</si>
  <si>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</si>
  <si>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</si>
  <si>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</si>
  <si>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</si>
  <si>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</si>
  <si>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</si>
  <si>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</si>
  <si>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</si>
  <si>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</si>
  <si>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</si>
  <si>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</si>
  <si>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</si>
  <si>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</si>
  <si>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</si>
  <si>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</si>
  <si>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</si>
  <si>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</si>
  <si>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</si>
  <si>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</si>
  <si>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</si>
  <si>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</si>
  <si>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</si>
  <si>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</si>
  <si>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</si>
  <si>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</si>
  <si>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</si>
  <si>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</si>
  <si>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</si>
  <si>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</si>
  <si>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</si>
  <si>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</si>
  <si>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</si>
  <si>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</si>
  <si>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</si>
  <si>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</si>
  <si>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</si>
  <si>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</si>
  <si>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</si>
  <si>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</si>
  <si>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</si>
  <si>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</si>
  <si>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</si>
  <si>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</si>
  <si>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</si>
  <si>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</si>
  <si>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</si>
  <si>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</si>
  <si>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</si>
  <si>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</si>
  <si>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</si>
  <si>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</si>
  <si>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</si>
  <si>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</si>
  <si>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</si>
  <si>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</si>
  <si>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</si>
  <si>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</si>
  <si>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</si>
  <si>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</si>
  <si>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</si>
  <si>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</si>
  <si>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</si>
  <si>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</si>
  <si>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</si>
  <si>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</si>
  <si>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</si>
  <si>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</si>
  <si>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</si>
  <si>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</si>
  <si>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</si>
  <si>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</si>
  <si>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</si>
  <si>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</si>
  <si>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</si>
  <si>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</si>
  <si>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</si>
  <si>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</si>
  <si>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</si>
  <si>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</si>
  <si>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</si>
  <si>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</si>
  <si>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</si>
  <si>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</si>
  <si>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</si>
  <si>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</si>
  <si>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</si>
  <si>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</si>
  <si>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</si>
  <si>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</si>
  <si>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</si>
  <si>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</si>
  <si>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</si>
  <si>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</si>
  <si>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</si>
  <si>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</si>
  <si>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</si>
  <si>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</si>
  <si>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</si>
  <si>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</si>
  <si>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</si>
  <si>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</si>
  <si>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</si>
  <si>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</si>
  <si>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</si>
  <si>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</si>
  <si>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</si>
  <si>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</si>
  <si>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</si>
  <si>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</si>
  <si>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</si>
  <si>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</si>
  <si>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</si>
  <si>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</si>
  <si>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</si>
  <si>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</si>
  <si>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</si>
  <si>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</si>
  <si>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</si>
  <si>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</si>
  <si>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</si>
  <si>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</si>
  <si>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</si>
  <si>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</si>
  <si>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</si>
  <si>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</si>
  <si>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</si>
  <si>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</si>
  <si>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</si>
  <si>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</si>
  <si>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</si>
  <si>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</si>
  <si>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</si>
  <si>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</si>
  <si>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</si>
  <si>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</si>
  <si>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</si>
  <si>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</si>
  <si>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</si>
  <si>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</si>
  <si>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</si>
  <si>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</si>
  <si>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</si>
  <si>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</si>
  <si>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</si>
  <si>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</si>
  <si>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</si>
  <si>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</si>
  <si>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</si>
  <si>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</si>
  <si>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</si>
  <si>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</si>
  <si>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</si>
  <si>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</si>
  <si>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</si>
  <si>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</si>
  <si>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</si>
  <si>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</si>
  <si>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</si>
  <si>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</si>
  <si>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</si>
  <si>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</si>
  <si>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</si>
  <si>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</si>
  <si>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</si>
  <si>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</si>
  <si>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</si>
  <si>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</si>
  <si>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</si>
  <si>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</si>
  <si>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</si>
  <si>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</si>
  <si>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</si>
  <si>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</si>
  <si>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</si>
  <si>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</si>
  <si>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</si>
  <si>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</si>
  <si>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</si>
  <si>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</si>
  <si>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</si>
  <si>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</si>
  <si>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</si>
  <si>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</si>
  <si>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</si>
  <si>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</si>
  <si>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</si>
  <si>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</si>
  <si>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</si>
  <si>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</si>
  <si>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</si>
  <si>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</si>
  <si>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</si>
  <si>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</si>
  <si>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</si>
  <si>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</si>
  <si>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</si>
  <si>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</si>
  <si>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</si>
  <si>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</si>
  <si>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</si>
  <si>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</si>
  <si>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</si>
  <si>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</si>
  <si>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</si>
  <si>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</si>
  <si>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</si>
  <si>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</si>
  <si>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</si>
  <si>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</si>
  <si>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</si>
  <si>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</si>
  <si>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</si>
  <si>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</si>
  <si>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</si>
  <si>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</si>
  <si>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</si>
  <si>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</si>
  <si>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</si>
  <si>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</si>
  <si>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</si>
  <si>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</si>
  <si>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</si>
  <si>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</si>
  <si>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</si>
  <si>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</si>
  <si>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</si>
  <si>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</si>
  <si>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</si>
  <si>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</si>
  <si>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</si>
  <si>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</si>
  <si>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</si>
  <si>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</si>
  <si>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</si>
  <si>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</si>
  <si>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</si>
  <si>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</si>
  <si>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</si>
  <si>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</si>
  <si>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</si>
  <si>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</si>
  <si>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</si>
  <si>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</si>
  <si>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</si>
  <si>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</si>
  <si>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</si>
  <si>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</si>
  <si>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</si>
  <si>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</si>
  <si>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</si>
  <si>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</si>
  <si>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</si>
  <si>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</si>
  <si>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</si>
  <si>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</si>
  <si>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</si>
  <si>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</si>
  <si>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</si>
  <si>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</si>
  <si>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</si>
  <si>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</si>
  <si>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</si>
  <si>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</si>
  <si>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</si>
  <si>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</si>
  <si>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</si>
  <si>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</si>
  <si>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</si>
  <si>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</si>
  <si>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</si>
  <si>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</si>
  <si>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</si>
  <si>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</si>
  <si>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</si>
  <si>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</si>
  <si>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</si>
  <si>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</si>
  <si>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</si>
  <si>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</si>
  <si>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</si>
  <si>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</si>
  <si>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</si>
  <si>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</si>
  <si>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</si>
  <si>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</si>
  <si>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</si>
  <si>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</si>
  <si>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</si>
  <si>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</si>
  <si>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</si>
  <si>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</si>
  <si>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</si>
  <si>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</si>
  <si>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</si>
  <si>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</si>
  <si>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</si>
  <si>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</si>
  <si>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</si>
  <si>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</si>
  <si>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</si>
  <si>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</si>
  <si>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</si>
  <si>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</si>
  <si>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</si>
  <si>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</si>
  <si>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</si>
  <si>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</si>
  <si>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</si>
  <si>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</si>
  <si>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</si>
  <si>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</si>
  <si>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</si>
  <si>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</si>
  <si>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</si>
  <si>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</si>
  <si>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</si>
  <si>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</si>
  <si>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</si>
  <si>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</si>
  <si>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</si>
  <si>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</si>
  <si>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</si>
  <si>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</si>
  <si>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</si>
  <si>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</si>
  <si>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</si>
  <si>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</si>
  <si>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</si>
  <si>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</si>
  <si>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</si>
  <si>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</si>
  <si>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</si>
  <si>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</si>
  <si>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</si>
  <si>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</si>
  <si>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</si>
  <si>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</si>
  <si>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</si>
  <si>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</si>
  <si>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</si>
  <si>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</si>
  <si>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</si>
  <si>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</si>
  <si>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</si>
  <si>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</si>
  <si>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</si>
  <si>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</si>
  <si>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</si>
  <si>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</si>
  <si>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</si>
  <si>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</si>
  <si>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</si>
  <si>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</si>
  <si>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</si>
  <si>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</si>
  <si>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</si>
  <si>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</si>
  <si>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</si>
  <si>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</si>
  <si>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</si>
  <si>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</si>
  <si>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</si>
  <si>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</si>
  <si>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</si>
  <si>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</si>
  <si>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</si>
  <si>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</si>
  <si>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</si>
  <si>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</si>
  <si>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</si>
  <si>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</si>
  <si>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</si>
  <si>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</si>
  <si>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</si>
  <si>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</si>
  <si>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</si>
  <si>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</si>
  <si>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</si>
  <si>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</si>
  <si>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</si>
  <si>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</si>
  <si>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</si>
  <si>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</si>
  <si>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</si>
  <si>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</si>
  <si>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</si>
  <si>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</si>
  <si>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</si>
  <si>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</si>
  <si>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</si>
  <si>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</si>
  <si>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</si>
  <si>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</si>
  <si>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</si>
  <si>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</si>
  <si>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</si>
  <si>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</si>
  <si>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</si>
  <si>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</si>
  <si>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</si>
  <si>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</si>
  <si>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</si>
  <si>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</si>
  <si>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</si>
  <si>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</si>
  <si>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</si>
  <si>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</si>
  <si>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</si>
  <si>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</si>
  <si>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</si>
  <si>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</si>
  <si>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</si>
  <si>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</si>
  <si>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</si>
  <si>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</si>
  <si>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</si>
  <si>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</si>
  <si>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</si>
  <si>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</si>
  <si>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</si>
  <si>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</si>
  <si>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</si>
  <si>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</si>
  <si>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</si>
  <si>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</si>
  <si>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</si>
  <si>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</si>
  <si>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</si>
  <si>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</si>
  <si>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</si>
  <si>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</si>
  <si>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</si>
  <si>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</si>
  <si>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</si>
  <si>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</si>
  <si>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</si>
  <si>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</si>
  <si>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</si>
  <si>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</si>
  <si>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</si>
  <si>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</si>
  <si>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</si>
  <si>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</si>
  <si>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</si>
  <si>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</si>
  <si>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</si>
  <si>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</si>
  <si>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</si>
  <si>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</si>
  <si>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</si>
  <si>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</si>
  <si>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</si>
  <si>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</si>
  <si>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</si>
  <si>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</si>
  <si>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</si>
  <si>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</si>
  <si>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</si>
  <si>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</si>
  <si>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</si>
  <si>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</si>
  <si>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</si>
  <si>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</si>
  <si>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</si>
  <si>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</si>
  <si>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</si>
  <si>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</si>
  <si>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</si>
  <si>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</si>
  <si>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</si>
  <si>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</si>
  <si>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</si>
  <si>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</si>
  <si>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</si>
  <si>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</si>
  <si>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</si>
  <si>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</si>
  <si>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</si>
  <si>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</si>
  <si>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</si>
  <si>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</si>
  <si>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</si>
  <si>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</si>
  <si>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</si>
  <si>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</si>
  <si>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</si>
  <si>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</si>
  <si>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</si>
  <si>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</si>
  <si>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</si>
  <si>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</si>
  <si>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</si>
  <si>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</si>
  <si>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</si>
  <si>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</si>
  <si>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</si>
  <si>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</si>
  <si>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</si>
  <si>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</si>
  <si>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</si>
  <si>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</si>
  <si>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01/01/2023 - 11/05/2025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</si>
  <si>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</si>
  <si>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</si>
  <si>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</si>
  <si>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</si>
  <si>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</si>
  <si>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</si>
  <si>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</si>
  <si>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</si>
  <si>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</si>
  <si>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</si>
  <si>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</si>
  <si>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</si>
  <si>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</si>
  <si>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</si>
  <si>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</si>
  <si>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</si>
  <si>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</si>
  <si>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</si>
  <si>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</si>
  <si>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</si>
  <si>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</si>
  <si>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</si>
  <si>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</si>
  <si>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</si>
  <si>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</si>
  <si>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r>
      <t xml:space="preserve">WARN REPORT - </t>
    </r>
    <r>
      <rPr>
        <b/>
        <sz val="12"/>
        <rFont val="Calibri"/>
        <family val="2"/>
        <scheme val="minor"/>
      </rPr>
      <t>07/01/25 to 11/05/2025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I683.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</si>
</sst>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683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34610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53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147</v>
      </c>
    </row>
    <row r="8" spans="1:2" x14ac:dyDescent="0.35">
      <c r="A8" s="2" t="s">
        <v>13</v>
      </c>
      <c r="B8" s="11">
        <f>COUNTIF('Detailed WARN Report '!F:F,"Closure Temporary")</f>
        <v>10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683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4.36328125" style="3" bestFit="1" customWidth="1"/>
    <col min="9" max="9" width="47.7265625" style="3" bestFit="1" customWidth="1"/>
  </cols>
  <sheetData>
    <row r="1" spans="1:9" ht="100" x14ac:dyDescent="0.35">
      <c r="A1" s="16" t="s">
        <v>1240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46026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1215</v>
      </c>
      <c r="F668" s="32" t="s">
        <v>6</v>
      </c>
      <c r="G668" s="34">
        <v>22</v>
      </c>
      <c r="H668" s="34" t="s">
        <v>1216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1217</v>
      </c>
      <c r="F669" s="32" t="s">
        <v>6</v>
      </c>
      <c r="G669" s="34">
        <v>54</v>
      </c>
      <c r="H669" s="34" t="s">
        <v>1218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1219</v>
      </c>
      <c r="F670" s="32" t="s">
        <v>6</v>
      </c>
      <c r="G670" s="34">
        <v>59</v>
      </c>
      <c r="H670" s="34" t="s">
        <v>1220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1221</v>
      </c>
      <c r="F671" s="32" t="s">
        <v>6</v>
      </c>
      <c r="G671" s="34">
        <v>7</v>
      </c>
      <c r="H671" s="34" t="s">
        <v>1222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1223</v>
      </c>
      <c r="F672" s="32" t="s">
        <v>6</v>
      </c>
      <c r="G672" s="34">
        <v>10</v>
      </c>
      <c r="H672" s="34" t="s">
        <v>1224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1225</v>
      </c>
      <c r="F673" s="32" t="s">
        <v>6</v>
      </c>
      <c r="G673" s="34">
        <v>75</v>
      </c>
      <c r="H673" s="34" t="s">
        <v>1226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1227</v>
      </c>
      <c r="F674" s="32" t="s">
        <v>6</v>
      </c>
      <c r="G674" s="34">
        <v>15</v>
      </c>
      <c r="H674" s="34" t="s">
        <v>1228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1227</v>
      </c>
      <c r="F675" s="32" t="s">
        <v>6</v>
      </c>
      <c r="G675" s="34">
        <v>1</v>
      </c>
      <c r="H675" s="34" t="s">
        <v>1229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1227</v>
      </c>
      <c r="F676" s="32" t="s">
        <v>6</v>
      </c>
      <c r="G676" s="34">
        <v>7</v>
      </c>
      <c r="H676" s="34" t="s">
        <v>1230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1227</v>
      </c>
      <c r="F677" s="32" t="s">
        <v>6</v>
      </c>
      <c r="G677" s="34">
        <v>3</v>
      </c>
      <c r="H677" s="34" t="s">
        <v>1231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1227</v>
      </c>
      <c r="F678" s="32" t="s">
        <v>6</v>
      </c>
      <c r="G678" s="34">
        <v>46</v>
      </c>
      <c r="H678" s="34" t="s">
        <v>1232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1233</v>
      </c>
      <c r="F679" s="32" t="s">
        <v>54</v>
      </c>
      <c r="G679" s="34">
        <v>76</v>
      </c>
      <c r="H679" s="34" t="s">
        <v>1234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1235</v>
      </c>
      <c r="F681" s="32" t="s">
        <v>54</v>
      </c>
      <c r="G681" s="34">
        <v>45</v>
      </c>
      <c r="H681" s="34" t="s">
        <v>1236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1237</v>
      </c>
      <c r="F682" s="32" t="s">
        <v>54</v>
      </c>
      <c r="G682" s="34">
        <v>22</v>
      </c>
      <c r="H682" s="34" t="s">
        <v>1238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1215</v>
      </c>
      <c r="F683" s="32" t="s">
        <v>54</v>
      </c>
      <c r="G683" s="34">
        <v>21</v>
      </c>
      <c r="H683" s="34" t="s">
        <v>1239</v>
      </c>
      <c r="I683" s="26" t="s">
        <v>35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I3:I683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28.8164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1214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2025-11-06T16:54:48Z</dcterms:modified>
  <cp:category>Calculating WARN Report</cp:category>
</cp:coreProperties>
</file>