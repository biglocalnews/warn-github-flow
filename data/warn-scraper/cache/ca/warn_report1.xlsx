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9124B997-875B-444F-84AD-DB9BF5D9F0E1}" xr6:coauthVersionLast="47" xr6:coauthVersionMax="47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<sst xmlns="http://schemas.openxmlformats.org/spreadsheetml/2006/main" count="1327" uniqueCount="520">
  <si>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</si>
  <si>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</si>
  <si>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</si>
  <si>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</si>
  <si>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</si>
  <si>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</si>
  <si>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</si>
  <si>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</si>
  <si>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</si>
  <si>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</si>
  <si>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</si>
  <si>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</si>
  <si>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</si>
  <si>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</si>
  <si>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</si>
  <si>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</si>
  <si>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</si>
  <si>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</si>
  <si>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</si>
  <si>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</si>
  <si>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</si>
  <si>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</si>
  <si>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</si>
  <si>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</si>
  <si>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</si>
  <si>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</si>
  <si>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</si>
  <si>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</si>
  <si>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</si>
  <si>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</si>
  <si>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</si>
  <si>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</si>
  <si>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</si>
  <si>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</si>
  <si>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</si>
  <si>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</si>
  <si>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</si>
  <si>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</si>
  <si>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</si>
  <si>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</si>
  <si>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</si>
  <si>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</si>
  <si>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</si>
  <si>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</si>
  <si>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</si>
  <si>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</si>
  <si>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</si>
  <si>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</si>
  <si>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</si>
  <si>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</si>
  <si>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</si>
  <si>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</si>
  <si>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</si>
  <si>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</si>
  <si>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</si>
  <si>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</si>
  <si>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</si>
  <si>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</si>
  <si>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</si>
  <si>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</si>
  <si>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</si>
  <si>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</si>
  <si>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</si>
  <si>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</si>
  <si>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</si>
  <si>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</si>
  <si>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</si>
  <si>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</si>
  <si>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</si>
  <si>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</si>
  <si>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</si>
  <si>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</si>
  <si>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</si>
  <si>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</si>
  <si>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</si>
  <si>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</si>
  <si>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</si>
  <si>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</si>
  <si>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</si>
  <si>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</si>
  <si>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</si>
  <si>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</si>
  <si>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</si>
  <si>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</si>
  <si>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</si>
  <si>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</si>
  <si>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</si>
  <si>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</si>
  <si>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</si>
  <si>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</si>
  <si>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</si>
  <si>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</si>
  <si>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</si>
  <si>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</si>
  <si>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</si>
  <si>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</si>
  <si>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</si>
  <si>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</si>
  <si>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</si>
  <si>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</si>
  <si>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</si>
  <si>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</si>
  <si>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</si>
  <si>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</si>
  <si>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</si>
  <si>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</si>
  <si>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</si>
  <si>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</si>
  <si>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</si>
  <si>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</si>
  <si>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</si>
  <si>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</si>
  <si>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</si>
  <si>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</si>
  <si>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</si>
  <si>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</si>
  <si>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</si>
  <si>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</si>
  <si>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</si>
  <si>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</si>
  <si>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</si>
  <si>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</si>
  <si>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</si>
  <si>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</si>
  <si>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</si>
  <si>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</si>
  <si>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</si>
  <si>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</si>
  <si>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</si>
  <si>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</si>
  <si>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</si>
  <si>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</si>
  <si>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</si>
  <si>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</si>
  <si>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</si>
  <si>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</si>
  <si>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</si>
  <si>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</si>
  <si>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</si>
  <si>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</si>
  <si>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</si>
  <si>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</si>
  <si>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</si>
  <si>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</si>
  <si>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</si>
  <si>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</si>
  <si>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</si>
  <si>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</si>
  <si>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</si>
  <si>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</si>
  <si>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</si>
  <si>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</si>
  <si>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</si>
  <si>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</si>
  <si>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</si>
  <si>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</si>
  <si>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</si>
  <si>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</si>
  <si>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</si>
  <si>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</si>
  <si>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</si>
  <si>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</si>
  <si>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</si>
  <si>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</si>
  <si>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</si>
  <si>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</si>
  <si>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</si>
  <si>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</si>
  <si>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</si>
  <si>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</si>
  <si>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</si>
  <si>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</si>
  <si>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</si>
  <si>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</si>
  <si>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</si>
  <si>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</si>
  <si>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</si>
  <si>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</si>
  <si>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</si>
  <si>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</si>
  <si>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</si>
  <si>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</si>
  <si>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</si>
  <si>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</si>
  <si>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</si>
  <si>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</si>
  <si>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</si>
  <si>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</si>
  <si>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</si>
  <si>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</si>
  <si>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</si>
  <si>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</si>
  <si>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</si>
  <si>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</si>
  <si>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</si>
  <si>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</si>
  <si>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</si>
  <si>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</si>
  <si>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</si>
  <si>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</si>
  <si>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</si>
  <si>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</si>
  <si>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</si>
  <si>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</si>
  <si>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</si>
  <si>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</si>
  <si>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</si>
  <si>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</si>
  <si>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</si>
  <si>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</si>
  <si>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</si>
  <si>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</si>
  <si>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</si>
  <si>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</si>
  <si>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</si>
  <si>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</si>
  <si>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</si>
  <si>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</si>
  <si>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</si>
  <si>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</si>
  <si>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</si>
  <si>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</si>
  <si>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</si>
  <si>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</si>
  <si>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</si>
  <si>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</si>
  <si>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</si>
  <si>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</si>
  <si>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</si>
  <si>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</si>
  <si>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</si>
  <si>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</si>
  <si>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</si>
  <si>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</si>
  <si>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</si>
  <si>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</si>
  <si>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</si>
  <si>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</si>
  <si>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</si>
  <si>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</si>
  <si>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</si>
  <si>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</si>
  <si>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</si>
  <si>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</si>
  <si>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</si>
  <si>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</si>
  <si>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</si>
  <si>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</si>
  <si>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</si>
  <si>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</si>
  <si>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</si>
  <si>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</si>
  <si>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</si>
  <si>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</si>
  <si>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</si>
  <si>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</si>
  <si>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</si>
  <si>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</si>
  <si>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</si>
  <si>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</si>
  <si>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</si>
  <si>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</si>
  <si>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</si>
  <si>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</si>
  <si>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</si>
  <si>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</si>
  <si>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</si>
  <si>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</si>
  <si>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</si>
  <si>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</si>
  <si>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</si>
  <si>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</si>
  <si>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</si>
  <si>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</si>
  <si>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</si>
  <si>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</si>
  <si>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</si>
  <si>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</si>
  <si>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</si>
  <si>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</si>
  <si>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</si>
  <si>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</si>
  <si>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</si>
  <si>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</si>
  <si>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</si>
  <si>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</si>
  <si>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</si>
  <si>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</si>
  <si>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</si>
  <si>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</si>
  <si>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</si>
  <si>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</si>
  <si>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</si>
  <si>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</si>
  <si>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</si>
  <si>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</si>
  <si>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</si>
  <si>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</si>
  <si>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</si>
  <si>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</si>
  <si>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</si>
  <si>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</si>
  <si>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</si>
  <si>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</si>
  <si>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</si>
  <si>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</si>
  <si>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</si>
  <si>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</si>
  <si>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</si>
  <si>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</si>
  <si>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</si>
  <si>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</si>
  <si>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</si>
  <si>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</si>
  <si>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</si>
  <si>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</si>
  <si>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</si>
  <si>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</si>
  <si>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</si>
  <si>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</si>
  <si>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</si>
  <si>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</si>
  <si>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</si>
  <si>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</si>
  <si>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</si>
  <si>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</si>
  <si>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</si>
  <si>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</si>
  <si>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</si>
  <si>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</si>
  <si>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</si>
  <si>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</si>
  <si>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</si>
  <si>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</si>
  <si>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</si>
  <si>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</si>
  <si>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</si>
  <si>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</si>
  <si>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</si>
  <si>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</si>
  <si>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</si>
  <si>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</si>
  <si>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</si>
  <si>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</si>
  <si>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</si>
  <si>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</si>
  <si>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</si>
  <si>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</si>
  <si>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</si>
  <si>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</si>
  <si>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</si>
  <si>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</si>
  <si>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</si>
  <si>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</si>
  <si>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</si>
  <si>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</si>
  <si>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</si>
  <si>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</si>
  <si>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</si>
  <si>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</si>
  <si>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</si>
  <si>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</si>
  <si>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</si>
  <si>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</si>
  <si>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</si>
  <si>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</si>
  <si>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</si>
  <si>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</si>
  <si>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</si>
  <si>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</si>
  <si>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</si>
  <si>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</si>
  <si>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</si>
  <si>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</si>
  <si>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</si>
  <si>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</si>
  <si>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</si>
  <si>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</si>
  <si>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</si>
  <si>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</si>
  <si>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</si>
  <si>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</si>
  <si>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</si>
  <si>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</si>
  <si>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</si>
  <si>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</si>
  <si>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</si>
  <si>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</si>
  <si>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</si>
  <si>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</si>
  <si>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</si>
  <si>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</si>
  <si>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</si>
  <si>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</si>
  <si>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</si>
  <si>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</si>
  <si>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</si>
  <si>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</si>
  <si>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</si>
  <si>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</si>
  <si>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</si>
  <si>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</si>
  <si>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</si>
  <si>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</si>
  <si>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</si>
  <si>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</si>
  <si>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</si>
  <si>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</si>
  <si>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</si>
  <si>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</si>
  <si>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</si>
  <si>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</si>
  <si>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</si>
  <si>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</si>
  <si>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</si>
  <si>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</si>
  <si>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</si>
  <si>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</si>
  <si>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</si>
  <si>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</si>
  <si>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</si>
  <si>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</si>
  <si>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</si>
  <si>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</si>
  <si>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</si>
  <si>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</si>
  <si>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</si>
  <si>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</si>
  <si>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</si>
  <si>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</si>
  <si>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</si>
  <si>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</si>
  <si>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</si>
  <si>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</si>
  <si>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</si>
  <si>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</si>
  <si>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</si>
  <si>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</si>
  <si>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</si>
  <si>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</si>
  <si>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</si>
  <si>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</si>
  <si>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</si>
  <si>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</si>
  <si>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</si>
  <si>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</si>
  <si>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</si>
  <si>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</si>
  <si>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</si>
  <si>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</si>
  <si>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</si>
  <si>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</si>
  <si>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</si>
  <si>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</si>
  <si>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</si>
  <si>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</si>
  <si>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</si>
  <si>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</si>
  <si>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</si>
  <si>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</si>
  <si>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</si>
  <si>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</si>
  <si>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</si>
  <si>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</si>
  <si>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</si>
  <si>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</si>
  <si>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</si>
  <si>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</si>
  <si>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</si>
  <si>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</si>
  <si>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</si>
  <si>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</si>
  <si>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</si>
  <si>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</si>
  <si>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</si>
  <si>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</si>
  <si>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</si>
  <si>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</si>
  <si>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</si>
  <si>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</si>
  <si>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</si>
  <si>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</si>
  <si>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</si>
  <si>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</si>
  <si>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</si>
  <si>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</si>
  <si>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</si>
  <si>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</si>
  <si>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</si>
  <si>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</si>
  <si>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</si>
  <si>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</si>
  <si>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</si>
  <si>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</si>
  <si>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</si>
  <si>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</si>
  <si>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</si>
  <si>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</si>
  <si>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</si>
  <si>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</si>
  <si>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</si>
  <si>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</si>
  <si>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</si>
  <si>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</si>
  <si>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</si>
  <si>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</si>
  <si>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</si>
  <si>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</si>
  <si>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</si>
  <si>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</si>
  <si>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</si>
  <si>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</si>
  <si>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</si>
  <si>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</si>
  <si>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</si>
  <si>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</si>
  <si>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</si>
  <si>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</si>
  <si>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</si>
  <si>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r>
      <t xml:space="preserve">WARN REPORT - </t>
    </r>
    <r>
      <rPr>
        <b/>
        <sz val="12"/>
        <rFont val="Calibri"/>
        <family val="2"/>
        <scheme val="minor"/>
      </rPr>
      <t>07/01/23 to 10/09/23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H328.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</si>
</sst>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328" totalsRowShown="0" headerRowDxfId="11" headerRowBorderDxfId="10" tableBorderDxfId="9" totalsRowBorderDxfId="8">
  <autoFilter ref="A2:H328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2" t="s">
        <v>348</v>
      </c>
    </row>
    <row r="2" spans="1:1" ht="21" x14ac:dyDescent="0.4">
      <c r="A2" s="9" t="s">
        <v>155</v>
      </c>
    </row>
    <row r="3" spans="1:1" x14ac:dyDescent="0.3">
      <c r="A3" s="10" t="s">
        <v>153</v>
      </c>
    </row>
    <row r="4" spans="1:1" x14ac:dyDescent="0.3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2" t="s">
        <v>347</v>
      </c>
    </row>
    <row r="2" spans="1:2" x14ac:dyDescent="0.3">
      <c r="A2" s="4" t="s">
        <v>28</v>
      </c>
      <c r="B2" s="5" t="s">
        <v>27</v>
      </c>
    </row>
    <row r="3" spans="1:2" x14ac:dyDescent="0.3">
      <c r="A3" s="3" t="s">
        <v>152</v>
      </c>
      <c r="B3" s="6">
        <f>SUM('Detailed WARN Report '!G:G)</f>
        <v>15928</v>
      </c>
    </row>
    <row r="4" spans="1:2" x14ac:dyDescent="0.3">
      <c r="A4" s="3" t="s">
        <v>21</v>
      </c>
      <c r="B4" s="6">
        <f>COUNTIF('Detailed WARN Report '!F:F,"Layoff Permanent")</f>
        <v>198</v>
      </c>
    </row>
    <row r="5" spans="1:2" x14ac:dyDescent="0.3">
      <c r="A5" s="3" t="s">
        <v>22</v>
      </c>
      <c r="B5" s="6">
        <f>COUNTIF('Detailed WARN Report '!F:F,"Layoff Temporary")</f>
        <v>3</v>
      </c>
    </row>
    <row r="6" spans="1:2" x14ac:dyDescent="0.3">
      <c r="A6" s="3" t="s">
        <v>23</v>
      </c>
      <c r="B6" s="6">
        <f>COUNTIF('Detailed WARN Report '!F:F,"Layoff Not Identified")</f>
        <v>0</v>
      </c>
    </row>
    <row r="7" spans="1:2" x14ac:dyDescent="0.3">
      <c r="A7" s="3" t="s">
        <v>24</v>
      </c>
      <c r="B7" s="6">
        <f>COUNTIF('Detailed WARN Report '!F:F,"Closure Permanent")</f>
        <v>119</v>
      </c>
    </row>
    <row r="8" spans="1:2" x14ac:dyDescent="0.3">
      <c r="A8" s="3" t="s">
        <v>25</v>
      </c>
      <c r="B8" s="6">
        <f>COUNTIF('Detailed WARN Report '!F:F,"Closure Temporary")</f>
        <v>6</v>
      </c>
    </row>
    <row r="9" spans="1:2" x14ac:dyDescent="0.3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328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2" bestFit="1" customWidth="1"/>
    <col min="6" max="6" width="14.33203125" bestFit="1" customWidth="1"/>
    <col min="7" max="7" width="9.88671875" bestFit="1" customWidth="1"/>
    <col min="8" max="8" width="52.88671875" bestFit="1" customWidth="1"/>
  </cols>
  <sheetData>
    <row r="1" spans="1:8" ht="99.6" x14ac:dyDescent="0.3">
      <c r="A1" s="8" t="s">
        <v>519</v>
      </c>
      <c r="D1" s="7"/>
      <c r="E1" s="7"/>
      <c r="F1" s="7"/>
      <c r="G1" s="7"/>
      <c r="H1" s="7"/>
    </row>
    <row r="2" spans="1:8" s="1" customFormat="1" ht="29.25" customHeight="1" x14ac:dyDescent="0.3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3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3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3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3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3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3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3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3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3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3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3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3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3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3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3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3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3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3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3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3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3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3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3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3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3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3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3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3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3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3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3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3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3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3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3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3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3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3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3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3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3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3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3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3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3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3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3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3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3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3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3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3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3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3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3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3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3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3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3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3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3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3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3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3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3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3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3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3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3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3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3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3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3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3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3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3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3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3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3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3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3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3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3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3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3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3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3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3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3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3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3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3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3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3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3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3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3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3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3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3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3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3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3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3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3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3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3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3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3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3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3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3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3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3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3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3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3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3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3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3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3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3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3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3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3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3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3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3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3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3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3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3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3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3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3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3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3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3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3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3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3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3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3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3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3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3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3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3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3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3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3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3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3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3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3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3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3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3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3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3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3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3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3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3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3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3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3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3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3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3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3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3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3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3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3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3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3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3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3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3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3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3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3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3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3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3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3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3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3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3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3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3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3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3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3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3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3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3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3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3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3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3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3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3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3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3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3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3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3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3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3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3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3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3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3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3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3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3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3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3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3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3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3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3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3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3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  <row r="229" spans="1:8" x14ac:dyDescent="0.3">
      <c r="A229" s="13" t="s">
        <v>5</v>
      </c>
      <c r="B229" s="14">
        <v>45156</v>
      </c>
      <c r="C229" s="14">
        <v>45188</v>
      </c>
      <c r="D229" s="14">
        <v>45216</v>
      </c>
      <c r="E229" s="15" t="s">
        <v>391</v>
      </c>
      <c r="F229" s="15" t="s">
        <v>16</v>
      </c>
      <c r="G229" s="16">
        <v>48</v>
      </c>
      <c r="H229" s="17" t="s">
        <v>392</v>
      </c>
    </row>
    <row r="230" spans="1:8" x14ac:dyDescent="0.3">
      <c r="A230" s="18" t="s">
        <v>8</v>
      </c>
      <c r="B230" s="19">
        <v>45163</v>
      </c>
      <c r="C230" s="19">
        <v>45190</v>
      </c>
      <c r="D230" s="19">
        <v>45227</v>
      </c>
      <c r="E230" s="20" t="s">
        <v>393</v>
      </c>
      <c r="F230" s="20" t="s">
        <v>16</v>
      </c>
      <c r="G230" s="21">
        <v>74</v>
      </c>
      <c r="H230" s="22" t="s">
        <v>394</v>
      </c>
    </row>
    <row r="231" spans="1:8" x14ac:dyDescent="0.3">
      <c r="A231" s="13" t="s">
        <v>86</v>
      </c>
      <c r="B231" s="14">
        <v>45112</v>
      </c>
      <c r="C231" s="14">
        <v>45190</v>
      </c>
      <c r="D231" s="14">
        <v>45107</v>
      </c>
      <c r="E231" s="15" t="s">
        <v>395</v>
      </c>
      <c r="F231" s="15" t="s">
        <v>16</v>
      </c>
      <c r="G231" s="16">
        <v>30</v>
      </c>
      <c r="H231" s="17" t="s">
        <v>396</v>
      </c>
    </row>
    <row r="232" spans="1:8" x14ac:dyDescent="0.3">
      <c r="A232" s="18" t="s">
        <v>86</v>
      </c>
      <c r="B232" s="19">
        <v>45112</v>
      </c>
      <c r="C232" s="19">
        <v>45190</v>
      </c>
      <c r="D232" s="19">
        <v>45135</v>
      </c>
      <c r="E232" s="20" t="s">
        <v>395</v>
      </c>
      <c r="F232" s="20" t="s">
        <v>16</v>
      </c>
      <c r="G232" s="21">
        <v>4</v>
      </c>
      <c r="H232" s="22" t="s">
        <v>396</v>
      </c>
    </row>
    <row r="233" spans="1:8" x14ac:dyDescent="0.3">
      <c r="A233" s="13" t="s">
        <v>86</v>
      </c>
      <c r="B233" s="14">
        <v>45112</v>
      </c>
      <c r="C233" s="14">
        <v>45190</v>
      </c>
      <c r="D233" s="14">
        <v>45177</v>
      </c>
      <c r="E233" s="15" t="s">
        <v>395</v>
      </c>
      <c r="F233" s="15" t="s">
        <v>16</v>
      </c>
      <c r="G233" s="16">
        <v>23</v>
      </c>
      <c r="H233" s="17" t="s">
        <v>396</v>
      </c>
    </row>
    <row r="234" spans="1:8" x14ac:dyDescent="0.3">
      <c r="A234" s="18" t="s">
        <v>6</v>
      </c>
      <c r="B234" s="19">
        <v>45112</v>
      </c>
      <c r="C234" s="19">
        <v>45190</v>
      </c>
      <c r="D234" s="19">
        <v>45177</v>
      </c>
      <c r="E234" s="20" t="s">
        <v>395</v>
      </c>
      <c r="F234" s="20" t="s">
        <v>16</v>
      </c>
      <c r="G234" s="21">
        <v>68</v>
      </c>
      <c r="H234" s="22" t="s">
        <v>397</v>
      </c>
    </row>
    <row r="235" spans="1:8" x14ac:dyDescent="0.3">
      <c r="A235" s="13" t="s">
        <v>6</v>
      </c>
      <c r="B235" s="14">
        <v>45112</v>
      </c>
      <c r="C235" s="14">
        <v>45190</v>
      </c>
      <c r="D235" s="14">
        <v>45177</v>
      </c>
      <c r="E235" s="15" t="s">
        <v>398</v>
      </c>
      <c r="F235" s="15" t="s">
        <v>16</v>
      </c>
      <c r="G235" s="16">
        <v>1</v>
      </c>
      <c r="H235" s="17" t="s">
        <v>399</v>
      </c>
    </row>
    <row r="236" spans="1:8" x14ac:dyDescent="0.3">
      <c r="A236" s="18" t="s">
        <v>97</v>
      </c>
      <c r="B236" s="19">
        <v>45160</v>
      </c>
      <c r="C236" s="19">
        <v>45190</v>
      </c>
      <c r="D236" s="19">
        <v>45220</v>
      </c>
      <c r="E236" s="20" t="s">
        <v>400</v>
      </c>
      <c r="F236" s="20" t="s">
        <v>15</v>
      </c>
      <c r="G236" s="21">
        <v>4</v>
      </c>
      <c r="H236" s="22" t="s">
        <v>401</v>
      </c>
    </row>
    <row r="237" spans="1:8" x14ac:dyDescent="0.3">
      <c r="A237" s="13" t="s">
        <v>7</v>
      </c>
      <c r="B237" s="14">
        <v>45160</v>
      </c>
      <c r="C237" s="14">
        <v>45190</v>
      </c>
      <c r="D237" s="14">
        <v>45219</v>
      </c>
      <c r="E237" s="15" t="s">
        <v>402</v>
      </c>
      <c r="F237" s="15" t="s">
        <v>16</v>
      </c>
      <c r="G237" s="16">
        <v>50</v>
      </c>
      <c r="H237" s="17" t="s">
        <v>403</v>
      </c>
    </row>
    <row r="238" spans="1:8" x14ac:dyDescent="0.3">
      <c r="A238" s="18" t="s">
        <v>252</v>
      </c>
      <c r="B238" s="19">
        <v>45160</v>
      </c>
      <c r="C238" s="19">
        <v>45190</v>
      </c>
      <c r="D238" s="19">
        <v>45220</v>
      </c>
      <c r="E238" s="20" t="s">
        <v>400</v>
      </c>
      <c r="F238" s="20" t="s">
        <v>15</v>
      </c>
      <c r="G238" s="21">
        <v>150</v>
      </c>
      <c r="H238" s="22" t="s">
        <v>404</v>
      </c>
    </row>
    <row r="239" spans="1:8" x14ac:dyDescent="0.3">
      <c r="A239" s="13" t="s">
        <v>63</v>
      </c>
      <c r="B239" s="14">
        <v>45134</v>
      </c>
      <c r="C239" s="14">
        <v>45191</v>
      </c>
      <c r="D239" s="14">
        <v>45170</v>
      </c>
      <c r="E239" s="15" t="s">
        <v>405</v>
      </c>
      <c r="F239" s="15" t="s">
        <v>16</v>
      </c>
      <c r="G239" s="16">
        <v>9</v>
      </c>
      <c r="H239" s="17" t="s">
        <v>406</v>
      </c>
    </row>
    <row r="240" spans="1:8" x14ac:dyDescent="0.3">
      <c r="A240" s="18" t="s">
        <v>63</v>
      </c>
      <c r="B240" s="19">
        <v>45134</v>
      </c>
      <c r="C240" s="19">
        <v>45191</v>
      </c>
      <c r="D240" s="19">
        <v>45170</v>
      </c>
      <c r="E240" s="20" t="s">
        <v>405</v>
      </c>
      <c r="F240" s="20" t="s">
        <v>16</v>
      </c>
      <c r="G240" s="21">
        <v>13</v>
      </c>
      <c r="H240" s="22" t="s">
        <v>407</v>
      </c>
    </row>
    <row r="241" spans="1:8" x14ac:dyDescent="0.3">
      <c r="A241" s="13" t="s">
        <v>63</v>
      </c>
      <c r="B241" s="14">
        <v>45134</v>
      </c>
      <c r="C241" s="14">
        <v>45191</v>
      </c>
      <c r="D241" s="14">
        <v>45170</v>
      </c>
      <c r="E241" s="15" t="s">
        <v>405</v>
      </c>
      <c r="F241" s="15" t="s">
        <v>16</v>
      </c>
      <c r="G241" s="16">
        <v>3</v>
      </c>
      <c r="H241" s="17" t="s">
        <v>408</v>
      </c>
    </row>
    <row r="242" spans="1:8" x14ac:dyDescent="0.3">
      <c r="A242" s="18" t="s">
        <v>63</v>
      </c>
      <c r="B242" s="19">
        <v>45134</v>
      </c>
      <c r="C242" s="19">
        <v>45191</v>
      </c>
      <c r="D242" s="19">
        <v>45170</v>
      </c>
      <c r="E242" s="20" t="s">
        <v>405</v>
      </c>
      <c r="F242" s="20" t="s">
        <v>16</v>
      </c>
      <c r="G242" s="21">
        <v>12</v>
      </c>
      <c r="H242" s="22" t="s">
        <v>409</v>
      </c>
    </row>
    <row r="243" spans="1:8" x14ac:dyDescent="0.3">
      <c r="A243" s="13" t="s">
        <v>5</v>
      </c>
      <c r="B243" s="14">
        <v>45141</v>
      </c>
      <c r="C243" s="14">
        <v>45191</v>
      </c>
      <c r="D243" s="14">
        <v>45199</v>
      </c>
      <c r="E243" s="15" t="s">
        <v>410</v>
      </c>
      <c r="F243" s="15" t="s">
        <v>16</v>
      </c>
      <c r="G243" s="16">
        <v>20</v>
      </c>
      <c r="H243" s="17" t="s">
        <v>411</v>
      </c>
    </row>
    <row r="244" spans="1:8" x14ac:dyDescent="0.3">
      <c r="A244" s="18" t="s">
        <v>14</v>
      </c>
      <c r="B244" s="19">
        <v>45136</v>
      </c>
      <c r="C244" s="19">
        <v>45194</v>
      </c>
      <c r="D244" s="19">
        <v>45199</v>
      </c>
      <c r="E244" s="20" t="s">
        <v>412</v>
      </c>
      <c r="F244" s="20" t="s">
        <v>15</v>
      </c>
      <c r="G244" s="21">
        <v>10</v>
      </c>
      <c r="H244" s="22" t="s">
        <v>413</v>
      </c>
    </row>
    <row r="245" spans="1:8" x14ac:dyDescent="0.3">
      <c r="A245" s="13" t="s">
        <v>7</v>
      </c>
      <c r="B245" s="14">
        <v>45149</v>
      </c>
      <c r="C245" s="14">
        <v>45194</v>
      </c>
      <c r="D245" s="14">
        <v>45215</v>
      </c>
      <c r="E245" s="15" t="s">
        <v>156</v>
      </c>
      <c r="F245" s="15" t="s">
        <v>15</v>
      </c>
      <c r="G245" s="16">
        <v>240</v>
      </c>
      <c r="H245" s="17" t="s">
        <v>414</v>
      </c>
    </row>
    <row r="246" spans="1:8" x14ac:dyDescent="0.3">
      <c r="A246" s="18" t="s">
        <v>7</v>
      </c>
      <c r="B246" s="19">
        <v>45152</v>
      </c>
      <c r="C246" s="19">
        <v>45194</v>
      </c>
      <c r="D246" s="19">
        <v>45214</v>
      </c>
      <c r="E246" s="20" t="s">
        <v>415</v>
      </c>
      <c r="F246" s="20" t="s">
        <v>16</v>
      </c>
      <c r="G246" s="21">
        <v>139</v>
      </c>
      <c r="H246" s="22" t="s">
        <v>416</v>
      </c>
    </row>
    <row r="247" spans="1:8" x14ac:dyDescent="0.3">
      <c r="A247" s="13" t="s">
        <v>11</v>
      </c>
      <c r="B247" s="14">
        <v>45136</v>
      </c>
      <c r="C247" s="14">
        <v>45194</v>
      </c>
      <c r="D247" s="14">
        <v>45199</v>
      </c>
      <c r="E247" s="15" t="s">
        <v>412</v>
      </c>
      <c r="F247" s="15" t="s">
        <v>15</v>
      </c>
      <c r="G247" s="16">
        <v>13</v>
      </c>
      <c r="H247" s="17" t="s">
        <v>417</v>
      </c>
    </row>
    <row r="248" spans="1:8" x14ac:dyDescent="0.3">
      <c r="A248" s="18" t="s">
        <v>6</v>
      </c>
      <c r="B248" s="19">
        <v>45160</v>
      </c>
      <c r="C248" s="19">
        <v>45195</v>
      </c>
      <c r="D248" s="19">
        <v>45177</v>
      </c>
      <c r="E248" s="20" t="s">
        <v>395</v>
      </c>
      <c r="F248" s="20" t="s">
        <v>16</v>
      </c>
      <c r="G248" s="21">
        <v>34</v>
      </c>
      <c r="H248" s="22" t="s">
        <v>418</v>
      </c>
    </row>
    <row r="249" spans="1:8" x14ac:dyDescent="0.3">
      <c r="A249" s="13" t="s">
        <v>6</v>
      </c>
      <c r="B249" s="14">
        <v>45160</v>
      </c>
      <c r="C249" s="14">
        <v>45195</v>
      </c>
      <c r="D249" s="14">
        <v>45198</v>
      </c>
      <c r="E249" s="15" t="s">
        <v>395</v>
      </c>
      <c r="F249" s="15" t="s">
        <v>16</v>
      </c>
      <c r="G249" s="16">
        <v>11</v>
      </c>
      <c r="H249" s="17" t="s">
        <v>418</v>
      </c>
    </row>
    <row r="250" spans="1:8" x14ac:dyDescent="0.3">
      <c r="A250" s="18" t="s">
        <v>6</v>
      </c>
      <c r="B250" s="19">
        <v>45160</v>
      </c>
      <c r="C250" s="19">
        <v>45195</v>
      </c>
      <c r="D250" s="19">
        <v>45191</v>
      </c>
      <c r="E250" s="20" t="s">
        <v>395</v>
      </c>
      <c r="F250" s="20" t="s">
        <v>16</v>
      </c>
      <c r="G250" s="21">
        <v>1</v>
      </c>
      <c r="H250" s="22" t="s">
        <v>418</v>
      </c>
    </row>
    <row r="251" spans="1:8" x14ac:dyDescent="0.3">
      <c r="A251" s="13" t="s">
        <v>6</v>
      </c>
      <c r="B251" s="14">
        <v>45160</v>
      </c>
      <c r="C251" s="14">
        <v>45195</v>
      </c>
      <c r="D251" s="14">
        <v>45205</v>
      </c>
      <c r="E251" s="15" t="s">
        <v>395</v>
      </c>
      <c r="F251" s="15" t="s">
        <v>16</v>
      </c>
      <c r="G251" s="16">
        <v>8</v>
      </c>
      <c r="H251" s="17" t="s">
        <v>418</v>
      </c>
    </row>
    <row r="252" spans="1:8" x14ac:dyDescent="0.3">
      <c r="A252" s="18" t="s">
        <v>86</v>
      </c>
      <c r="B252" s="19">
        <v>45161</v>
      </c>
      <c r="C252" s="19">
        <v>45196</v>
      </c>
      <c r="D252" s="19">
        <v>45221</v>
      </c>
      <c r="E252" s="20" t="s">
        <v>419</v>
      </c>
      <c r="F252" s="20" t="s">
        <v>16</v>
      </c>
      <c r="G252" s="21">
        <v>21</v>
      </c>
      <c r="H252" s="22" t="s">
        <v>420</v>
      </c>
    </row>
    <row r="253" spans="1:8" x14ac:dyDescent="0.3">
      <c r="A253" s="13" t="s">
        <v>5</v>
      </c>
      <c r="B253" s="14">
        <v>45153</v>
      </c>
      <c r="C253" s="14">
        <v>45196</v>
      </c>
      <c r="D253" s="14">
        <v>45185</v>
      </c>
      <c r="E253" s="15" t="s">
        <v>421</v>
      </c>
      <c r="F253" s="15" t="s">
        <v>15</v>
      </c>
      <c r="G253" s="16">
        <v>53</v>
      </c>
      <c r="H253" s="17" t="s">
        <v>422</v>
      </c>
    </row>
    <row r="254" spans="1:8" x14ac:dyDescent="0.3">
      <c r="A254" s="18" t="s">
        <v>5</v>
      </c>
      <c r="B254" s="19">
        <v>45161</v>
      </c>
      <c r="C254" s="19">
        <v>45196</v>
      </c>
      <c r="D254" s="19">
        <v>45221</v>
      </c>
      <c r="E254" s="20" t="s">
        <v>419</v>
      </c>
      <c r="F254" s="20" t="s">
        <v>16</v>
      </c>
      <c r="G254" s="21">
        <v>95</v>
      </c>
      <c r="H254" s="22" t="s">
        <v>423</v>
      </c>
    </row>
    <row r="255" spans="1:8" x14ac:dyDescent="0.3">
      <c r="A255" s="13" t="s">
        <v>63</v>
      </c>
      <c r="B255" s="14">
        <v>45155</v>
      </c>
      <c r="C255" s="14">
        <v>45196</v>
      </c>
      <c r="D255" s="14">
        <v>45215</v>
      </c>
      <c r="E255" s="15" t="s">
        <v>89</v>
      </c>
      <c r="F255" s="15" t="s">
        <v>16</v>
      </c>
      <c r="G255" s="16">
        <v>2</v>
      </c>
      <c r="H255" s="17" t="s">
        <v>90</v>
      </c>
    </row>
    <row r="256" spans="1:8" x14ac:dyDescent="0.3">
      <c r="A256" s="18" t="s">
        <v>63</v>
      </c>
      <c r="B256" s="19">
        <v>45189</v>
      </c>
      <c r="C256" s="19">
        <v>45196</v>
      </c>
      <c r="D256" s="19">
        <v>45250</v>
      </c>
      <c r="E256" s="20" t="s">
        <v>89</v>
      </c>
      <c r="F256" s="20" t="s">
        <v>16</v>
      </c>
      <c r="G256" s="21">
        <v>1</v>
      </c>
      <c r="H256" s="22" t="s">
        <v>90</v>
      </c>
    </row>
    <row r="257" spans="1:8" x14ac:dyDescent="0.3">
      <c r="A257" s="13" t="s">
        <v>66</v>
      </c>
      <c r="B257" s="14">
        <v>45156</v>
      </c>
      <c r="C257" s="14">
        <v>45196</v>
      </c>
      <c r="D257" s="14">
        <v>45150</v>
      </c>
      <c r="E257" s="15" t="s">
        <v>424</v>
      </c>
      <c r="F257" s="15" t="s">
        <v>99</v>
      </c>
      <c r="G257" s="16">
        <v>110</v>
      </c>
      <c r="H257" s="17" t="s">
        <v>425</v>
      </c>
    </row>
    <row r="258" spans="1:8" x14ac:dyDescent="0.3">
      <c r="A258" s="18" t="s">
        <v>76</v>
      </c>
      <c r="B258" s="19">
        <v>45161</v>
      </c>
      <c r="C258" s="19">
        <v>45196</v>
      </c>
      <c r="D258" s="19">
        <v>45233</v>
      </c>
      <c r="E258" s="20" t="s">
        <v>426</v>
      </c>
      <c r="F258" s="20" t="s">
        <v>16</v>
      </c>
      <c r="G258" s="21">
        <v>80</v>
      </c>
      <c r="H258" s="22" t="s">
        <v>427</v>
      </c>
    </row>
    <row r="259" spans="1:8" x14ac:dyDescent="0.3">
      <c r="A259" s="13" t="s">
        <v>6</v>
      </c>
      <c r="B259" s="14">
        <v>45154</v>
      </c>
      <c r="C259" s="14">
        <v>45196</v>
      </c>
      <c r="D259" s="14">
        <v>45200</v>
      </c>
      <c r="E259" s="15" t="s">
        <v>428</v>
      </c>
      <c r="F259" s="15" t="s">
        <v>99</v>
      </c>
      <c r="G259" s="16">
        <v>44</v>
      </c>
      <c r="H259" s="17" t="s">
        <v>429</v>
      </c>
    </row>
    <row r="260" spans="1:8" x14ac:dyDescent="0.3">
      <c r="A260" s="18" t="s">
        <v>6</v>
      </c>
      <c r="B260" s="19">
        <v>45154</v>
      </c>
      <c r="C260" s="19">
        <v>45196</v>
      </c>
      <c r="D260" s="19">
        <v>45200</v>
      </c>
      <c r="E260" s="20" t="s">
        <v>428</v>
      </c>
      <c r="F260" s="20" t="s">
        <v>99</v>
      </c>
      <c r="G260" s="21">
        <v>22</v>
      </c>
      <c r="H260" s="22" t="s">
        <v>430</v>
      </c>
    </row>
    <row r="261" spans="1:8" x14ac:dyDescent="0.3">
      <c r="A261" s="13" t="s">
        <v>5</v>
      </c>
      <c r="B261" s="14">
        <v>45166</v>
      </c>
      <c r="C261" s="14">
        <v>45197</v>
      </c>
      <c r="D261" s="14">
        <v>45230</v>
      </c>
      <c r="E261" s="15" t="s">
        <v>431</v>
      </c>
      <c r="F261" s="15" t="s">
        <v>16</v>
      </c>
      <c r="G261" s="16">
        <v>136</v>
      </c>
      <c r="H261" s="17" t="s">
        <v>432</v>
      </c>
    </row>
    <row r="262" spans="1:8" x14ac:dyDescent="0.3">
      <c r="A262" s="18" t="s">
        <v>5</v>
      </c>
      <c r="B262" s="19">
        <v>45166</v>
      </c>
      <c r="C262" s="19">
        <v>45197</v>
      </c>
      <c r="D262" s="19">
        <v>45230</v>
      </c>
      <c r="E262" s="20" t="s">
        <v>431</v>
      </c>
      <c r="F262" s="20" t="s">
        <v>16</v>
      </c>
      <c r="G262" s="21">
        <v>2</v>
      </c>
      <c r="H262" s="22" t="s">
        <v>433</v>
      </c>
    </row>
    <row r="263" spans="1:8" x14ac:dyDescent="0.3">
      <c r="A263" s="13" t="s">
        <v>5</v>
      </c>
      <c r="B263" s="14">
        <v>45166</v>
      </c>
      <c r="C263" s="14">
        <v>45197</v>
      </c>
      <c r="D263" s="14">
        <v>45230</v>
      </c>
      <c r="E263" s="15" t="s">
        <v>434</v>
      </c>
      <c r="F263" s="15" t="s">
        <v>16</v>
      </c>
      <c r="G263" s="16">
        <v>68</v>
      </c>
      <c r="H263" s="17" t="s">
        <v>432</v>
      </c>
    </row>
    <row r="264" spans="1:8" x14ac:dyDescent="0.3">
      <c r="A264" s="18" t="s">
        <v>5</v>
      </c>
      <c r="B264" s="19">
        <v>45166</v>
      </c>
      <c r="C264" s="19">
        <v>45197</v>
      </c>
      <c r="D264" s="19">
        <v>45230</v>
      </c>
      <c r="E264" s="20" t="s">
        <v>434</v>
      </c>
      <c r="F264" s="20" t="s">
        <v>16</v>
      </c>
      <c r="G264" s="21">
        <v>163</v>
      </c>
      <c r="H264" s="22" t="s">
        <v>433</v>
      </c>
    </row>
    <row r="265" spans="1:8" x14ac:dyDescent="0.3">
      <c r="A265" s="13" t="s">
        <v>66</v>
      </c>
      <c r="B265" s="14">
        <v>45152</v>
      </c>
      <c r="C265" s="14">
        <v>45197</v>
      </c>
      <c r="D265" s="14">
        <v>45214</v>
      </c>
      <c r="E265" s="15" t="s">
        <v>435</v>
      </c>
      <c r="F265" s="15" t="s">
        <v>15</v>
      </c>
      <c r="G265" s="16">
        <v>19</v>
      </c>
      <c r="H265" s="17" t="s">
        <v>436</v>
      </c>
    </row>
    <row r="266" spans="1:8" x14ac:dyDescent="0.3">
      <c r="A266" s="18" t="s">
        <v>11</v>
      </c>
      <c r="B266" s="19">
        <v>45166</v>
      </c>
      <c r="C266" s="19">
        <v>45197</v>
      </c>
      <c r="D266" s="19">
        <v>45228</v>
      </c>
      <c r="E266" s="20" t="s">
        <v>437</v>
      </c>
      <c r="F266" s="20" t="s">
        <v>15</v>
      </c>
      <c r="G266" s="21">
        <v>39</v>
      </c>
      <c r="H266" s="22" t="s">
        <v>438</v>
      </c>
    </row>
    <row r="267" spans="1:8" x14ac:dyDescent="0.3">
      <c r="A267" s="13" t="s">
        <v>11</v>
      </c>
      <c r="B267" s="14">
        <v>45166</v>
      </c>
      <c r="C267" s="14">
        <v>45197</v>
      </c>
      <c r="D267" s="14">
        <v>45228</v>
      </c>
      <c r="E267" s="15" t="s">
        <v>437</v>
      </c>
      <c r="F267" s="15" t="s">
        <v>15</v>
      </c>
      <c r="G267" s="16">
        <v>14</v>
      </c>
      <c r="H267" s="17" t="s">
        <v>439</v>
      </c>
    </row>
    <row r="268" spans="1:8" x14ac:dyDescent="0.3">
      <c r="A268" s="18" t="s">
        <v>9</v>
      </c>
      <c r="B268" s="19">
        <v>45163</v>
      </c>
      <c r="C268" s="19">
        <v>45197</v>
      </c>
      <c r="D268" s="19">
        <v>45214</v>
      </c>
      <c r="E268" s="20" t="s">
        <v>51</v>
      </c>
      <c r="F268" s="20" t="s">
        <v>16</v>
      </c>
      <c r="G268" s="21">
        <v>58</v>
      </c>
      <c r="H268" s="22" t="s">
        <v>230</v>
      </c>
    </row>
    <row r="269" spans="1:8" x14ac:dyDescent="0.3">
      <c r="A269" s="13" t="s">
        <v>52</v>
      </c>
      <c r="B269" s="14">
        <v>45162</v>
      </c>
      <c r="C269" s="14">
        <v>45197</v>
      </c>
      <c r="D269" s="14">
        <v>45177</v>
      </c>
      <c r="E269" s="15" t="s">
        <v>440</v>
      </c>
      <c r="F269" s="15" t="s">
        <v>16</v>
      </c>
      <c r="G269" s="16">
        <v>5</v>
      </c>
      <c r="H269" s="17" t="s">
        <v>505</v>
      </c>
    </row>
    <row r="270" spans="1:8" x14ac:dyDescent="0.3">
      <c r="A270" s="18" t="s">
        <v>52</v>
      </c>
      <c r="B270" s="19">
        <v>45162</v>
      </c>
      <c r="C270" s="19">
        <v>45197</v>
      </c>
      <c r="D270" s="19">
        <v>45177</v>
      </c>
      <c r="E270" s="20" t="s">
        <v>506</v>
      </c>
      <c r="F270" s="20" t="s">
        <v>16</v>
      </c>
      <c r="G270" s="21">
        <v>26</v>
      </c>
      <c r="H270" s="22" t="s">
        <v>507</v>
      </c>
    </row>
    <row r="271" spans="1:8" x14ac:dyDescent="0.3">
      <c r="A271" s="13" t="s">
        <v>52</v>
      </c>
      <c r="B271" s="14">
        <v>45162</v>
      </c>
      <c r="C271" s="14">
        <v>45197</v>
      </c>
      <c r="D271" s="14">
        <v>45214</v>
      </c>
      <c r="E271" s="15" t="s">
        <v>508</v>
      </c>
      <c r="F271" s="15" t="s">
        <v>16</v>
      </c>
      <c r="G271" s="16">
        <v>1</v>
      </c>
      <c r="H271" s="17" t="s">
        <v>509</v>
      </c>
    </row>
    <row r="272" spans="1:8" x14ac:dyDescent="0.3">
      <c r="A272" s="18" t="s">
        <v>52</v>
      </c>
      <c r="B272" s="19">
        <v>45162</v>
      </c>
      <c r="C272" s="19">
        <v>45197</v>
      </c>
      <c r="D272" s="19">
        <v>45199</v>
      </c>
      <c r="E272" s="20" t="s">
        <v>510</v>
      </c>
      <c r="F272" s="20" t="s">
        <v>16</v>
      </c>
      <c r="G272" s="21">
        <v>3</v>
      </c>
      <c r="H272" s="22" t="s">
        <v>507</v>
      </c>
    </row>
    <row r="273" spans="1:8" x14ac:dyDescent="0.3">
      <c r="A273" s="13" t="s">
        <v>52</v>
      </c>
      <c r="B273" s="14">
        <v>45162</v>
      </c>
      <c r="C273" s="14">
        <v>45197</v>
      </c>
      <c r="D273" s="14">
        <v>45260</v>
      </c>
      <c r="E273" s="15" t="s">
        <v>511</v>
      </c>
      <c r="F273" s="15" t="s">
        <v>16</v>
      </c>
      <c r="G273" s="16">
        <v>5</v>
      </c>
      <c r="H273" s="17" t="s">
        <v>507</v>
      </c>
    </row>
    <row r="274" spans="1:8" x14ac:dyDescent="0.3">
      <c r="A274" s="18" t="s">
        <v>52</v>
      </c>
      <c r="B274" s="19">
        <v>45162</v>
      </c>
      <c r="C274" s="19">
        <v>45197</v>
      </c>
      <c r="D274" s="19">
        <v>45291</v>
      </c>
      <c r="E274" s="20" t="s">
        <v>512</v>
      </c>
      <c r="F274" s="20" t="s">
        <v>16</v>
      </c>
      <c r="G274" s="21">
        <v>3</v>
      </c>
      <c r="H274" s="22" t="s">
        <v>507</v>
      </c>
    </row>
    <row r="275" spans="1:8" x14ac:dyDescent="0.3">
      <c r="A275" s="13" t="s">
        <v>52</v>
      </c>
      <c r="B275" s="14">
        <v>45162</v>
      </c>
      <c r="C275" s="14">
        <v>45197</v>
      </c>
      <c r="D275" s="14">
        <v>45275</v>
      </c>
      <c r="E275" s="15" t="s">
        <v>512</v>
      </c>
      <c r="F275" s="15" t="s">
        <v>16</v>
      </c>
      <c r="G275" s="16">
        <v>1</v>
      </c>
      <c r="H275" s="17" t="s">
        <v>513</v>
      </c>
    </row>
    <row r="276" spans="1:8" x14ac:dyDescent="0.3">
      <c r="A276" s="18" t="s">
        <v>52</v>
      </c>
      <c r="B276" s="19">
        <v>45162</v>
      </c>
      <c r="C276" s="19">
        <v>45197</v>
      </c>
      <c r="D276" s="19">
        <v>45230</v>
      </c>
      <c r="E276" s="20" t="s">
        <v>510</v>
      </c>
      <c r="F276" s="20" t="s">
        <v>16</v>
      </c>
      <c r="G276" s="21">
        <v>1</v>
      </c>
      <c r="H276" s="22" t="s">
        <v>507</v>
      </c>
    </row>
    <row r="277" spans="1:8" x14ac:dyDescent="0.3">
      <c r="A277" s="13" t="s">
        <v>52</v>
      </c>
      <c r="B277" s="14">
        <v>45162</v>
      </c>
      <c r="C277" s="14">
        <v>45197</v>
      </c>
      <c r="D277" s="14">
        <v>45177</v>
      </c>
      <c r="E277" s="15" t="s">
        <v>514</v>
      </c>
      <c r="F277" s="15" t="s">
        <v>16</v>
      </c>
      <c r="G277" s="16">
        <v>12</v>
      </c>
      <c r="H277" s="17" t="s">
        <v>515</v>
      </c>
    </row>
    <row r="278" spans="1:8" x14ac:dyDescent="0.3">
      <c r="A278" s="18" t="s">
        <v>52</v>
      </c>
      <c r="B278" s="19">
        <v>45162</v>
      </c>
      <c r="C278" s="19">
        <v>45197</v>
      </c>
      <c r="D278" s="19">
        <v>45214</v>
      </c>
      <c r="E278" s="20" t="s">
        <v>514</v>
      </c>
      <c r="F278" s="20" t="s">
        <v>16</v>
      </c>
      <c r="G278" s="21">
        <v>2</v>
      </c>
      <c r="H278" s="22" t="s">
        <v>515</v>
      </c>
    </row>
    <row r="279" spans="1:8" x14ac:dyDescent="0.3">
      <c r="A279" s="13" t="s">
        <v>52</v>
      </c>
      <c r="B279" s="14">
        <v>45162</v>
      </c>
      <c r="C279" s="14">
        <v>45197</v>
      </c>
      <c r="D279" s="14">
        <v>45261</v>
      </c>
      <c r="E279" s="15" t="s">
        <v>514</v>
      </c>
      <c r="F279" s="15" t="s">
        <v>16</v>
      </c>
      <c r="G279" s="16">
        <v>1</v>
      </c>
      <c r="H279" s="17" t="s">
        <v>515</v>
      </c>
    </row>
    <row r="280" spans="1:8" x14ac:dyDescent="0.3">
      <c r="A280" s="18" t="s">
        <v>5</v>
      </c>
      <c r="B280" s="19">
        <v>45168</v>
      </c>
      <c r="C280" s="19">
        <v>45198</v>
      </c>
      <c r="D280" s="19">
        <v>45230</v>
      </c>
      <c r="E280" s="20" t="s">
        <v>441</v>
      </c>
      <c r="F280" s="20" t="s">
        <v>15</v>
      </c>
      <c r="G280" s="21">
        <v>53</v>
      </c>
      <c r="H280" s="22" t="s">
        <v>442</v>
      </c>
    </row>
    <row r="281" spans="1:8" x14ac:dyDescent="0.3">
      <c r="A281" s="13" t="s">
        <v>66</v>
      </c>
      <c r="B281" s="14">
        <v>45169</v>
      </c>
      <c r="C281" s="14">
        <v>45198</v>
      </c>
      <c r="D281" s="14">
        <v>45230</v>
      </c>
      <c r="E281" s="15" t="s">
        <v>443</v>
      </c>
      <c r="F281" s="15" t="s">
        <v>15</v>
      </c>
      <c r="G281" s="16">
        <v>60</v>
      </c>
      <c r="H281" s="17" t="s">
        <v>444</v>
      </c>
    </row>
    <row r="282" spans="1:8" x14ac:dyDescent="0.3">
      <c r="A282" s="18" t="s">
        <v>368</v>
      </c>
      <c r="B282" s="19">
        <v>45167</v>
      </c>
      <c r="C282" s="19">
        <v>45198</v>
      </c>
      <c r="D282" s="19">
        <v>45230</v>
      </c>
      <c r="E282" s="20" t="s">
        <v>445</v>
      </c>
      <c r="F282" s="20" t="s">
        <v>15</v>
      </c>
      <c r="G282" s="21">
        <v>29</v>
      </c>
      <c r="H282" s="22" t="s">
        <v>446</v>
      </c>
    </row>
    <row r="283" spans="1:8" x14ac:dyDescent="0.3">
      <c r="A283" s="13" t="s">
        <v>5</v>
      </c>
      <c r="B283" s="14">
        <v>45170</v>
      </c>
      <c r="C283" s="14">
        <v>45201</v>
      </c>
      <c r="D283" s="14">
        <v>45244</v>
      </c>
      <c r="E283" s="15" t="s">
        <v>447</v>
      </c>
      <c r="F283" s="15" t="s">
        <v>15</v>
      </c>
      <c r="G283" s="16">
        <v>217</v>
      </c>
      <c r="H283" s="17" t="s">
        <v>448</v>
      </c>
    </row>
    <row r="284" spans="1:8" x14ac:dyDescent="0.3">
      <c r="A284" s="18" t="s">
        <v>5</v>
      </c>
      <c r="B284" s="19">
        <v>45169</v>
      </c>
      <c r="C284" s="19">
        <v>45201</v>
      </c>
      <c r="D284" s="19">
        <v>45231</v>
      </c>
      <c r="E284" s="20" t="s">
        <v>288</v>
      </c>
      <c r="F284" s="20" t="s">
        <v>15</v>
      </c>
      <c r="G284" s="21">
        <v>3</v>
      </c>
      <c r="H284" s="22" t="s">
        <v>449</v>
      </c>
    </row>
    <row r="285" spans="1:8" x14ac:dyDescent="0.3">
      <c r="A285" s="13" t="s">
        <v>66</v>
      </c>
      <c r="B285" s="14">
        <v>45140</v>
      </c>
      <c r="C285" s="14">
        <v>45201</v>
      </c>
      <c r="D285" s="14">
        <v>45205</v>
      </c>
      <c r="E285" s="15" t="s">
        <v>450</v>
      </c>
      <c r="F285" s="15" t="s">
        <v>16</v>
      </c>
      <c r="G285" s="16">
        <v>6</v>
      </c>
      <c r="H285" s="17" t="s">
        <v>451</v>
      </c>
    </row>
    <row r="286" spans="1:8" x14ac:dyDescent="0.3">
      <c r="A286" s="18" t="s">
        <v>11</v>
      </c>
      <c r="B286" s="19">
        <v>45147</v>
      </c>
      <c r="C286" s="19">
        <v>45201</v>
      </c>
      <c r="D286" s="19">
        <v>45205</v>
      </c>
      <c r="E286" s="20" t="s">
        <v>452</v>
      </c>
      <c r="F286" s="20" t="s">
        <v>16</v>
      </c>
      <c r="G286" s="21">
        <v>59</v>
      </c>
      <c r="H286" s="22" t="s">
        <v>453</v>
      </c>
    </row>
    <row r="287" spans="1:8" x14ac:dyDescent="0.3">
      <c r="A287" s="13" t="s">
        <v>11</v>
      </c>
      <c r="B287" s="14">
        <v>45147</v>
      </c>
      <c r="C287" s="14">
        <v>45201</v>
      </c>
      <c r="D287" s="14">
        <v>45205</v>
      </c>
      <c r="E287" s="15" t="s">
        <v>452</v>
      </c>
      <c r="F287" s="15" t="s">
        <v>16</v>
      </c>
      <c r="G287" s="16">
        <v>4</v>
      </c>
      <c r="H287" s="17" t="s">
        <v>454</v>
      </c>
    </row>
    <row r="288" spans="1:8" x14ac:dyDescent="0.3">
      <c r="A288" s="18" t="s">
        <v>11</v>
      </c>
      <c r="B288" s="19">
        <v>45147</v>
      </c>
      <c r="C288" s="19">
        <v>45201</v>
      </c>
      <c r="D288" s="19">
        <v>45205</v>
      </c>
      <c r="E288" s="20" t="s">
        <v>452</v>
      </c>
      <c r="F288" s="20" t="s">
        <v>16</v>
      </c>
      <c r="G288" s="21">
        <v>3</v>
      </c>
      <c r="H288" s="22" t="s">
        <v>455</v>
      </c>
    </row>
    <row r="289" spans="1:8" x14ac:dyDescent="0.3">
      <c r="A289" s="13" t="s">
        <v>11</v>
      </c>
      <c r="B289" s="14">
        <v>45147</v>
      </c>
      <c r="C289" s="14">
        <v>45201</v>
      </c>
      <c r="D289" s="14">
        <v>45205</v>
      </c>
      <c r="E289" s="15" t="s">
        <v>452</v>
      </c>
      <c r="F289" s="15" t="s">
        <v>16</v>
      </c>
      <c r="G289" s="16">
        <v>4</v>
      </c>
      <c r="H289" s="17" t="s">
        <v>456</v>
      </c>
    </row>
    <row r="290" spans="1:8" x14ac:dyDescent="0.3">
      <c r="A290" s="18" t="s">
        <v>66</v>
      </c>
      <c r="B290" s="19">
        <v>45140</v>
      </c>
      <c r="C290" s="19">
        <v>45201</v>
      </c>
      <c r="D290" s="19">
        <v>45205</v>
      </c>
      <c r="E290" s="20" t="s">
        <v>450</v>
      </c>
      <c r="F290" s="20" t="s">
        <v>16</v>
      </c>
      <c r="G290" s="21">
        <v>18</v>
      </c>
      <c r="H290" s="22" t="s">
        <v>457</v>
      </c>
    </row>
    <row r="291" spans="1:8" x14ac:dyDescent="0.3">
      <c r="A291" s="13" t="s">
        <v>66</v>
      </c>
      <c r="B291" s="14">
        <v>45140</v>
      </c>
      <c r="C291" s="14">
        <v>45201</v>
      </c>
      <c r="D291" s="14">
        <v>45205</v>
      </c>
      <c r="E291" s="15" t="s">
        <v>450</v>
      </c>
      <c r="F291" s="15" t="s">
        <v>16</v>
      </c>
      <c r="G291" s="16">
        <v>1</v>
      </c>
      <c r="H291" s="17" t="s">
        <v>458</v>
      </c>
    </row>
    <row r="292" spans="1:8" x14ac:dyDescent="0.3">
      <c r="A292" s="18" t="s">
        <v>66</v>
      </c>
      <c r="B292" s="19">
        <v>45140</v>
      </c>
      <c r="C292" s="19">
        <v>45201</v>
      </c>
      <c r="D292" s="19">
        <v>45205</v>
      </c>
      <c r="E292" s="20" t="s">
        <v>450</v>
      </c>
      <c r="F292" s="20" t="s">
        <v>16</v>
      </c>
      <c r="G292" s="21">
        <v>7</v>
      </c>
      <c r="H292" s="22" t="s">
        <v>459</v>
      </c>
    </row>
    <row r="293" spans="1:8" x14ac:dyDescent="0.3">
      <c r="A293" s="13" t="s">
        <v>66</v>
      </c>
      <c r="B293" s="14">
        <v>45140</v>
      </c>
      <c r="C293" s="14">
        <v>45201</v>
      </c>
      <c r="D293" s="14">
        <v>45205</v>
      </c>
      <c r="E293" s="15" t="s">
        <v>450</v>
      </c>
      <c r="F293" s="15" t="s">
        <v>16</v>
      </c>
      <c r="G293" s="16">
        <v>2</v>
      </c>
      <c r="H293" s="17" t="s">
        <v>460</v>
      </c>
    </row>
    <row r="294" spans="1:8" x14ac:dyDescent="0.3">
      <c r="A294" s="18" t="s">
        <v>66</v>
      </c>
      <c r="B294" s="19">
        <v>45140</v>
      </c>
      <c r="C294" s="19">
        <v>45201</v>
      </c>
      <c r="D294" s="19">
        <v>45205</v>
      </c>
      <c r="E294" s="20" t="s">
        <v>450</v>
      </c>
      <c r="F294" s="20" t="s">
        <v>16</v>
      </c>
      <c r="G294" s="21">
        <v>11</v>
      </c>
      <c r="H294" s="22" t="s">
        <v>461</v>
      </c>
    </row>
    <row r="295" spans="1:8" x14ac:dyDescent="0.3">
      <c r="A295" s="13" t="s">
        <v>66</v>
      </c>
      <c r="B295" s="14">
        <v>45140</v>
      </c>
      <c r="C295" s="14">
        <v>45201</v>
      </c>
      <c r="D295" s="14">
        <v>45205</v>
      </c>
      <c r="E295" s="15" t="s">
        <v>450</v>
      </c>
      <c r="F295" s="15" t="s">
        <v>16</v>
      </c>
      <c r="G295" s="16">
        <v>12</v>
      </c>
      <c r="H295" s="17" t="s">
        <v>462</v>
      </c>
    </row>
    <row r="296" spans="1:8" x14ac:dyDescent="0.3">
      <c r="A296" s="18" t="s">
        <v>175</v>
      </c>
      <c r="B296" s="19">
        <v>45170</v>
      </c>
      <c r="C296" s="19">
        <v>45201</v>
      </c>
      <c r="D296" s="19">
        <v>45231</v>
      </c>
      <c r="E296" s="20" t="s">
        <v>463</v>
      </c>
      <c r="F296" s="20" t="s">
        <v>15</v>
      </c>
      <c r="G296" s="21">
        <v>292</v>
      </c>
      <c r="H296" s="22" t="s">
        <v>464</v>
      </c>
    </row>
    <row r="297" spans="1:8" x14ac:dyDescent="0.3">
      <c r="A297" s="13" t="s">
        <v>86</v>
      </c>
      <c r="B297" s="14">
        <v>45181</v>
      </c>
      <c r="C297" s="14">
        <v>45202</v>
      </c>
      <c r="D297" s="14">
        <v>45240</v>
      </c>
      <c r="E297" s="15" t="s">
        <v>465</v>
      </c>
      <c r="F297" s="15" t="s">
        <v>16</v>
      </c>
      <c r="G297" s="16">
        <v>21</v>
      </c>
      <c r="H297" s="17" t="s">
        <v>466</v>
      </c>
    </row>
    <row r="298" spans="1:8" x14ac:dyDescent="0.3">
      <c r="A298" s="18" t="s">
        <v>5</v>
      </c>
      <c r="B298" s="19">
        <v>45181</v>
      </c>
      <c r="C298" s="19">
        <v>45202</v>
      </c>
      <c r="D298" s="19">
        <v>45240</v>
      </c>
      <c r="E298" s="20" t="s">
        <v>465</v>
      </c>
      <c r="F298" s="20" t="s">
        <v>16</v>
      </c>
      <c r="G298" s="21">
        <v>8</v>
      </c>
      <c r="H298" s="22" t="s">
        <v>467</v>
      </c>
    </row>
    <row r="299" spans="1:8" x14ac:dyDescent="0.3">
      <c r="A299" s="13" t="s">
        <v>5</v>
      </c>
      <c r="B299" s="14">
        <v>45181</v>
      </c>
      <c r="C299" s="14">
        <v>45202</v>
      </c>
      <c r="D299" s="14">
        <v>45240</v>
      </c>
      <c r="E299" s="15" t="s">
        <v>468</v>
      </c>
      <c r="F299" s="15" t="s">
        <v>16</v>
      </c>
      <c r="G299" s="16">
        <v>1</v>
      </c>
      <c r="H299" s="17" t="s">
        <v>469</v>
      </c>
    </row>
    <row r="300" spans="1:8" x14ac:dyDescent="0.3">
      <c r="A300" s="18" t="s">
        <v>5</v>
      </c>
      <c r="B300" s="19">
        <v>45181</v>
      </c>
      <c r="C300" s="19">
        <v>45202</v>
      </c>
      <c r="D300" s="19">
        <v>45240</v>
      </c>
      <c r="E300" s="20" t="s">
        <v>470</v>
      </c>
      <c r="F300" s="20" t="s">
        <v>16</v>
      </c>
      <c r="G300" s="21">
        <v>8</v>
      </c>
      <c r="H300" s="22" t="s">
        <v>471</v>
      </c>
    </row>
    <row r="301" spans="1:8" x14ac:dyDescent="0.3">
      <c r="A301" s="13" t="s">
        <v>5</v>
      </c>
      <c r="B301" s="14">
        <v>45181</v>
      </c>
      <c r="C301" s="14">
        <v>45202</v>
      </c>
      <c r="D301" s="14">
        <v>45240</v>
      </c>
      <c r="E301" s="15" t="s">
        <v>472</v>
      </c>
      <c r="F301" s="15" t="s">
        <v>16</v>
      </c>
      <c r="G301" s="16">
        <v>1</v>
      </c>
      <c r="H301" s="17" t="s">
        <v>473</v>
      </c>
    </row>
    <row r="302" spans="1:8" x14ac:dyDescent="0.3">
      <c r="A302" s="18" t="s">
        <v>5</v>
      </c>
      <c r="B302" s="19">
        <v>45170</v>
      </c>
      <c r="C302" s="19">
        <v>45202</v>
      </c>
      <c r="D302" s="19">
        <v>45170</v>
      </c>
      <c r="E302" s="20" t="s">
        <v>474</v>
      </c>
      <c r="F302" s="20" t="s">
        <v>16</v>
      </c>
      <c r="G302" s="21">
        <v>1</v>
      </c>
      <c r="H302" s="22" t="s">
        <v>475</v>
      </c>
    </row>
    <row r="303" spans="1:8" x14ac:dyDescent="0.3">
      <c r="A303" s="13" t="s">
        <v>86</v>
      </c>
      <c r="B303" s="14">
        <v>45181</v>
      </c>
      <c r="C303" s="14">
        <v>45202</v>
      </c>
      <c r="D303" s="14">
        <v>45240</v>
      </c>
      <c r="E303" s="15" t="s">
        <v>476</v>
      </c>
      <c r="F303" s="15" t="s">
        <v>16</v>
      </c>
      <c r="G303" s="16">
        <v>2</v>
      </c>
      <c r="H303" s="17" t="s">
        <v>477</v>
      </c>
    </row>
    <row r="304" spans="1:8" x14ac:dyDescent="0.3">
      <c r="A304" s="18" t="s">
        <v>86</v>
      </c>
      <c r="B304" s="19">
        <v>45181</v>
      </c>
      <c r="C304" s="19">
        <v>45202</v>
      </c>
      <c r="D304" s="19">
        <v>45240</v>
      </c>
      <c r="E304" s="20" t="s">
        <v>465</v>
      </c>
      <c r="F304" s="20" t="s">
        <v>16</v>
      </c>
      <c r="G304" s="21">
        <v>1</v>
      </c>
      <c r="H304" s="22" t="s">
        <v>478</v>
      </c>
    </row>
    <row r="305" spans="1:8" x14ac:dyDescent="0.3">
      <c r="A305" s="13" t="s">
        <v>86</v>
      </c>
      <c r="B305" s="14">
        <v>45181</v>
      </c>
      <c r="C305" s="14">
        <v>45202</v>
      </c>
      <c r="D305" s="14">
        <v>45240</v>
      </c>
      <c r="E305" s="15" t="s">
        <v>479</v>
      </c>
      <c r="F305" s="15" t="s">
        <v>16</v>
      </c>
      <c r="G305" s="16">
        <v>4</v>
      </c>
      <c r="H305" s="17" t="s">
        <v>480</v>
      </c>
    </row>
    <row r="306" spans="1:8" x14ac:dyDescent="0.3">
      <c r="A306" s="18" t="s">
        <v>66</v>
      </c>
      <c r="B306" s="19">
        <v>45170</v>
      </c>
      <c r="C306" s="19">
        <v>45202</v>
      </c>
      <c r="D306" s="19">
        <v>45170</v>
      </c>
      <c r="E306" s="20" t="s">
        <v>474</v>
      </c>
      <c r="F306" s="20" t="s">
        <v>16</v>
      </c>
      <c r="G306" s="21">
        <v>57</v>
      </c>
      <c r="H306" s="22" t="s">
        <v>481</v>
      </c>
    </row>
    <row r="307" spans="1:8" x14ac:dyDescent="0.3">
      <c r="A307" s="13" t="s">
        <v>66</v>
      </c>
      <c r="B307" s="14">
        <v>45170</v>
      </c>
      <c r="C307" s="14">
        <v>45202</v>
      </c>
      <c r="D307" s="14">
        <v>45183</v>
      </c>
      <c r="E307" s="15" t="s">
        <v>474</v>
      </c>
      <c r="F307" s="15" t="s">
        <v>16</v>
      </c>
      <c r="G307" s="16">
        <v>3</v>
      </c>
      <c r="H307" s="17" t="s">
        <v>481</v>
      </c>
    </row>
    <row r="308" spans="1:8" x14ac:dyDescent="0.3">
      <c r="A308" s="18" t="s">
        <v>66</v>
      </c>
      <c r="B308" s="19">
        <v>45170</v>
      </c>
      <c r="C308" s="19">
        <v>45202</v>
      </c>
      <c r="D308" s="19">
        <v>45212</v>
      </c>
      <c r="E308" s="20" t="s">
        <v>474</v>
      </c>
      <c r="F308" s="20" t="s">
        <v>16</v>
      </c>
      <c r="G308" s="21">
        <v>12</v>
      </c>
      <c r="H308" s="22" t="s">
        <v>481</v>
      </c>
    </row>
    <row r="309" spans="1:8" x14ac:dyDescent="0.3">
      <c r="A309" s="13" t="s">
        <v>66</v>
      </c>
      <c r="B309" s="14">
        <v>45170</v>
      </c>
      <c r="C309" s="14">
        <v>45202</v>
      </c>
      <c r="D309" s="14">
        <v>45170</v>
      </c>
      <c r="E309" s="15" t="s">
        <v>474</v>
      </c>
      <c r="F309" s="15" t="s">
        <v>16</v>
      </c>
      <c r="G309" s="16">
        <v>10</v>
      </c>
      <c r="H309" s="17" t="s">
        <v>482</v>
      </c>
    </row>
    <row r="310" spans="1:8" x14ac:dyDescent="0.3">
      <c r="A310" s="18" t="s">
        <v>11</v>
      </c>
      <c r="B310" s="19">
        <v>45170</v>
      </c>
      <c r="C310" s="19">
        <v>45202</v>
      </c>
      <c r="D310" s="19">
        <v>45170</v>
      </c>
      <c r="E310" s="20" t="s">
        <v>474</v>
      </c>
      <c r="F310" s="20" t="s">
        <v>16</v>
      </c>
      <c r="G310" s="21">
        <v>1</v>
      </c>
      <c r="H310" s="22" t="s">
        <v>483</v>
      </c>
    </row>
    <row r="311" spans="1:8" x14ac:dyDescent="0.3">
      <c r="A311" s="13" t="s">
        <v>76</v>
      </c>
      <c r="B311" s="14">
        <v>45181</v>
      </c>
      <c r="C311" s="14">
        <v>45202</v>
      </c>
      <c r="D311" s="14">
        <v>45240</v>
      </c>
      <c r="E311" s="15" t="s">
        <v>465</v>
      </c>
      <c r="F311" s="15" t="s">
        <v>16</v>
      </c>
      <c r="G311" s="16">
        <v>1</v>
      </c>
      <c r="H311" s="17" t="s">
        <v>484</v>
      </c>
    </row>
    <row r="312" spans="1:8" x14ac:dyDescent="0.3">
      <c r="A312" s="18" t="s">
        <v>6</v>
      </c>
      <c r="B312" s="19">
        <v>45177</v>
      </c>
      <c r="C312" s="19">
        <v>45202</v>
      </c>
      <c r="D312" s="19">
        <v>45237</v>
      </c>
      <c r="E312" s="20" t="s">
        <v>485</v>
      </c>
      <c r="F312" s="20" t="s">
        <v>15</v>
      </c>
      <c r="G312" s="21">
        <v>27</v>
      </c>
      <c r="H312" s="22" t="s">
        <v>486</v>
      </c>
    </row>
    <row r="313" spans="1:8" x14ac:dyDescent="0.3">
      <c r="A313" s="13" t="s">
        <v>6</v>
      </c>
      <c r="B313" s="14">
        <v>45181</v>
      </c>
      <c r="C313" s="14">
        <v>45202</v>
      </c>
      <c r="D313" s="14">
        <v>45240</v>
      </c>
      <c r="E313" s="15" t="s">
        <v>465</v>
      </c>
      <c r="F313" s="15" t="s">
        <v>16</v>
      </c>
      <c r="G313" s="16">
        <v>1</v>
      </c>
      <c r="H313" s="17" t="s">
        <v>487</v>
      </c>
    </row>
    <row r="314" spans="1:8" x14ac:dyDescent="0.3">
      <c r="A314" s="18" t="s">
        <v>5</v>
      </c>
      <c r="B314" s="19">
        <v>45181</v>
      </c>
      <c r="C314" s="19">
        <v>45202</v>
      </c>
      <c r="D314" s="19">
        <v>45240</v>
      </c>
      <c r="E314" s="20" t="s">
        <v>465</v>
      </c>
      <c r="F314" s="20" t="s">
        <v>16</v>
      </c>
      <c r="G314" s="21">
        <v>1</v>
      </c>
      <c r="H314" s="22" t="s">
        <v>488</v>
      </c>
    </row>
    <row r="315" spans="1:8" x14ac:dyDescent="0.3">
      <c r="A315" s="13" t="s">
        <v>8</v>
      </c>
      <c r="B315" s="14">
        <v>45166</v>
      </c>
      <c r="C315" s="14">
        <v>45203</v>
      </c>
      <c r="D315" s="14">
        <v>45166</v>
      </c>
      <c r="E315" s="15" t="s">
        <v>489</v>
      </c>
      <c r="F315" s="15" t="s">
        <v>16</v>
      </c>
      <c r="G315" s="16">
        <v>26</v>
      </c>
      <c r="H315" s="17" t="s">
        <v>490</v>
      </c>
    </row>
    <row r="316" spans="1:8" x14ac:dyDescent="0.3">
      <c r="A316" s="18" t="s">
        <v>8</v>
      </c>
      <c r="B316" s="19">
        <v>45166</v>
      </c>
      <c r="C316" s="19">
        <v>45203</v>
      </c>
      <c r="D316" s="19">
        <v>45166</v>
      </c>
      <c r="E316" s="20" t="s">
        <v>489</v>
      </c>
      <c r="F316" s="20" t="s">
        <v>16</v>
      </c>
      <c r="G316" s="21">
        <v>1</v>
      </c>
      <c r="H316" s="22" t="s">
        <v>491</v>
      </c>
    </row>
    <row r="317" spans="1:8" x14ac:dyDescent="0.3">
      <c r="A317" s="13" t="s">
        <v>8</v>
      </c>
      <c r="B317" s="14">
        <v>45166</v>
      </c>
      <c r="C317" s="14">
        <v>45203</v>
      </c>
      <c r="D317" s="14">
        <v>45166</v>
      </c>
      <c r="E317" s="15" t="s">
        <v>489</v>
      </c>
      <c r="F317" s="15" t="s">
        <v>16</v>
      </c>
      <c r="G317" s="16">
        <v>4</v>
      </c>
      <c r="H317" s="17" t="s">
        <v>492</v>
      </c>
    </row>
    <row r="318" spans="1:8" x14ac:dyDescent="0.3">
      <c r="A318" s="18" t="s">
        <v>8</v>
      </c>
      <c r="B318" s="19">
        <v>45166</v>
      </c>
      <c r="C318" s="19">
        <v>45203</v>
      </c>
      <c r="D318" s="19">
        <v>45166</v>
      </c>
      <c r="E318" s="20" t="s">
        <v>489</v>
      </c>
      <c r="F318" s="20" t="s">
        <v>16</v>
      </c>
      <c r="G318" s="21">
        <v>1</v>
      </c>
      <c r="H318" s="22" t="s">
        <v>493</v>
      </c>
    </row>
    <row r="319" spans="1:8" x14ac:dyDescent="0.3">
      <c r="A319" s="13" t="s">
        <v>8</v>
      </c>
      <c r="B319" s="14">
        <v>45166</v>
      </c>
      <c r="C319" s="14">
        <v>45203</v>
      </c>
      <c r="D319" s="14">
        <v>45166</v>
      </c>
      <c r="E319" s="15" t="s">
        <v>489</v>
      </c>
      <c r="F319" s="15" t="s">
        <v>16</v>
      </c>
      <c r="G319" s="16">
        <v>25</v>
      </c>
      <c r="H319" s="17" t="s">
        <v>494</v>
      </c>
    </row>
    <row r="320" spans="1:8" x14ac:dyDescent="0.3">
      <c r="A320" s="18" t="s">
        <v>8</v>
      </c>
      <c r="B320" s="19">
        <v>45166</v>
      </c>
      <c r="C320" s="19">
        <v>45203</v>
      </c>
      <c r="D320" s="19">
        <v>45166</v>
      </c>
      <c r="E320" s="20" t="s">
        <v>489</v>
      </c>
      <c r="F320" s="20" t="s">
        <v>16</v>
      </c>
      <c r="G320" s="21">
        <v>2</v>
      </c>
      <c r="H320" s="22" t="s">
        <v>495</v>
      </c>
    </row>
    <row r="321" spans="1:8" x14ac:dyDescent="0.3">
      <c r="A321" s="13" t="s">
        <v>8</v>
      </c>
      <c r="B321" s="14">
        <v>45166</v>
      </c>
      <c r="C321" s="14">
        <v>45203</v>
      </c>
      <c r="D321" s="14">
        <v>45166</v>
      </c>
      <c r="E321" s="15" t="s">
        <v>489</v>
      </c>
      <c r="F321" s="15" t="s">
        <v>16</v>
      </c>
      <c r="G321" s="16">
        <v>1</v>
      </c>
      <c r="H321" s="17" t="s">
        <v>496</v>
      </c>
    </row>
    <row r="322" spans="1:8" x14ac:dyDescent="0.3">
      <c r="A322" s="18" t="s">
        <v>8</v>
      </c>
      <c r="B322" s="19">
        <v>45166</v>
      </c>
      <c r="C322" s="19">
        <v>45203</v>
      </c>
      <c r="D322" s="19">
        <v>45166</v>
      </c>
      <c r="E322" s="20" t="s">
        <v>489</v>
      </c>
      <c r="F322" s="20" t="s">
        <v>16</v>
      </c>
      <c r="G322" s="21">
        <v>1</v>
      </c>
      <c r="H322" s="22" t="s">
        <v>497</v>
      </c>
    </row>
    <row r="323" spans="1:8" x14ac:dyDescent="0.3">
      <c r="A323" s="13" t="s">
        <v>9</v>
      </c>
      <c r="B323" s="14">
        <v>45170</v>
      </c>
      <c r="C323" s="14">
        <v>45203</v>
      </c>
      <c r="D323" s="14">
        <v>45291</v>
      </c>
      <c r="E323" s="15" t="s">
        <v>498</v>
      </c>
      <c r="F323" s="15" t="s">
        <v>15</v>
      </c>
      <c r="G323" s="16">
        <v>40</v>
      </c>
      <c r="H323" s="17" t="s">
        <v>499</v>
      </c>
    </row>
    <row r="324" spans="1:8" x14ac:dyDescent="0.3">
      <c r="A324" s="18" t="s">
        <v>9</v>
      </c>
      <c r="B324" s="19">
        <v>45198</v>
      </c>
      <c r="C324" s="19">
        <v>45203</v>
      </c>
      <c r="D324" s="19">
        <v>45198</v>
      </c>
      <c r="E324" s="20" t="s">
        <v>500</v>
      </c>
      <c r="F324" s="20" t="s">
        <v>16</v>
      </c>
      <c r="G324" s="21">
        <v>259</v>
      </c>
      <c r="H324" s="22" t="s">
        <v>501</v>
      </c>
    </row>
    <row r="325" spans="1:8" x14ac:dyDescent="0.3">
      <c r="A325" s="13" t="s">
        <v>6</v>
      </c>
      <c r="B325" s="14">
        <v>45155</v>
      </c>
      <c r="C325" s="14">
        <v>45203</v>
      </c>
      <c r="D325" s="14">
        <v>45215</v>
      </c>
      <c r="E325" s="15" t="s">
        <v>502</v>
      </c>
      <c r="F325" s="15" t="s">
        <v>16</v>
      </c>
      <c r="G325" s="16">
        <v>13</v>
      </c>
      <c r="H325" s="17" t="s">
        <v>503</v>
      </c>
    </row>
    <row r="326" spans="1:8" x14ac:dyDescent="0.3">
      <c r="A326" s="18" t="s">
        <v>252</v>
      </c>
      <c r="B326" s="19">
        <v>45155</v>
      </c>
      <c r="C326" s="19">
        <v>45203</v>
      </c>
      <c r="D326" s="19">
        <v>45215</v>
      </c>
      <c r="E326" s="20" t="s">
        <v>502</v>
      </c>
      <c r="F326" s="20" t="s">
        <v>16</v>
      </c>
      <c r="G326" s="21">
        <v>98</v>
      </c>
      <c r="H326" s="22" t="s">
        <v>504</v>
      </c>
    </row>
    <row r="327" spans="1:8" x14ac:dyDescent="0.3">
      <c r="A327" s="13" t="s">
        <v>5</v>
      </c>
      <c r="B327" s="14">
        <v>45174</v>
      </c>
      <c r="C327" s="14">
        <v>45204</v>
      </c>
      <c r="D327" s="14">
        <v>45234</v>
      </c>
      <c r="E327" s="15" t="s">
        <v>516</v>
      </c>
      <c r="F327" s="15" t="s">
        <v>15</v>
      </c>
      <c r="G327" s="16">
        <v>53</v>
      </c>
      <c r="H327" s="17" t="s">
        <v>517</v>
      </c>
    </row>
    <row r="328" spans="1:8" x14ac:dyDescent="0.3">
      <c r="A328" s="18" t="s">
        <v>5</v>
      </c>
      <c r="B328" s="19">
        <v>45174</v>
      </c>
      <c r="C328" s="19">
        <v>45204</v>
      </c>
      <c r="D328" s="19">
        <v>45260</v>
      </c>
      <c r="E328" s="20" t="s">
        <v>516</v>
      </c>
      <c r="F328" s="20" t="s">
        <v>15</v>
      </c>
      <c r="G328" s="21">
        <v>4</v>
      </c>
      <c r="H328" s="22" t="s">
        <v>518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06C59DD-BA72-4539-8251-9A8329B0FC1D}"/>
</file>

<file path=customXml/itemProps2.xml><?xml version="1.0" encoding="utf-8"?>
<ds:datastoreItem xmlns:ds="http://schemas.openxmlformats.org/officeDocument/2006/customXml" ds:itemID="{7FBFE211-0C34-433D-9B33-99A7F9097B46}"/>
</file>

<file path=customXml/itemProps3.xml><?xml version="1.0" encoding="utf-8"?>
<ds:datastoreItem xmlns:ds="http://schemas.openxmlformats.org/officeDocument/2006/customXml" ds:itemID="{0246515F-3E8A-4DEB-BEE7-4506A2B6AD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2023-10-10T15:43:52Z</dcterms:modified>
  <cp:category>Calculating WARN Report</cp:category>
</cp:coreProperties>
</file>