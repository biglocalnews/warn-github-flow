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4FF73A02-7884-46DC-B78B-29CE6B781D1A}" xr6:coauthVersionLast="47" xr6:coauthVersionMax="47" xr10:uidLastSave="{00000000-0000-0000-0000-000000000000}"/>
  <bookViews>
    <workbookView xWindow="29430" yWindow="21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<sst xmlns="http://schemas.openxmlformats.org/spreadsheetml/2006/main" count="1871" uniqueCount="694">
  <si>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</si>
  <si>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</si>
  <si>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</si>
  <si>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</si>
  <si>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</si>
  <si>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</si>
  <si>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</si>
  <si>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</si>
  <si>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</si>
  <si>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</si>
  <si>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</si>
  <si>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</si>
  <si>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</si>
  <si>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</si>
  <si>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</si>
  <si>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</si>
  <si>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</si>
  <si>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</si>
  <si>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</si>
  <si>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</si>
  <si>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</si>
  <si>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</si>
  <si>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</si>
  <si>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</si>
  <si>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</si>
  <si>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</si>
  <si>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</si>
  <si>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</si>
  <si>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</si>
  <si>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</si>
  <si>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</si>
  <si>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</si>
  <si>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</si>
  <si>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</si>
  <si>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</si>
  <si>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</si>
  <si>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</si>
  <si>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</si>
  <si>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</si>
  <si>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</si>
  <si>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</si>
  <si>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</si>
  <si>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</si>
  <si>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</si>
  <si>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</si>
  <si>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</si>
  <si>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</si>
  <si>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</si>
  <si>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</si>
  <si>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</si>
  <si>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</si>
  <si>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</si>
  <si>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</si>
  <si>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</si>
  <si>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</si>
  <si>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</si>
  <si>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</si>
  <si>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</si>
  <si>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</si>
  <si>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</si>
  <si>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</si>
  <si>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</si>
  <si>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</si>
  <si>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</si>
  <si>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</si>
  <si>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</si>
  <si>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</si>
  <si>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</si>
  <si>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</si>
  <si>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</si>
  <si>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</si>
  <si>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</si>
  <si>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</si>
  <si>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</si>
  <si>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</si>
  <si>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</si>
  <si>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</si>
  <si>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</si>
  <si>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</si>
  <si>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</si>
  <si>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</si>
  <si>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</si>
  <si>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</si>
  <si>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</si>
  <si>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</si>
  <si>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</si>
  <si>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</si>
  <si>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</si>
  <si>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</si>
  <si>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</si>
  <si>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</si>
  <si>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</si>
  <si>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</si>
  <si>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</si>
  <si>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</si>
  <si>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</si>
  <si>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</si>
  <si>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</si>
  <si>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</si>
  <si>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</si>
  <si>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</si>
  <si>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</si>
  <si>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</si>
  <si>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</si>
  <si>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</si>
  <si>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</si>
  <si>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</si>
  <si>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</si>
  <si>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</si>
  <si>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</si>
  <si>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</si>
  <si>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</si>
  <si>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</si>
  <si>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</si>
  <si>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</si>
  <si>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</si>
  <si>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</si>
  <si>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</si>
  <si>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</si>
  <si>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</si>
  <si>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</si>
  <si>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</si>
  <si>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</si>
  <si>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</si>
  <si>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</si>
  <si>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</si>
  <si>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</si>
  <si>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</si>
  <si>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</si>
  <si>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</si>
  <si>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</si>
  <si>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</si>
  <si>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</si>
  <si>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</si>
  <si>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</si>
  <si>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</si>
  <si>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</si>
  <si>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</si>
  <si>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</si>
  <si>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</si>
  <si>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</si>
  <si>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</si>
  <si>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</si>
  <si>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</si>
  <si>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</si>
  <si>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</si>
  <si>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</si>
  <si>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</si>
  <si>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</si>
  <si>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</si>
  <si>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</si>
  <si>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</si>
  <si>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</si>
  <si>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</si>
  <si>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</si>
  <si>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</si>
  <si>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</si>
  <si>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</si>
  <si>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</si>
  <si>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</si>
  <si>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</si>
  <si>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</si>
  <si>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</si>
  <si>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</si>
  <si>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</si>
  <si>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</si>
  <si>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</si>
  <si>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</si>
  <si>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</si>
  <si>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</si>
  <si>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</si>
  <si>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</si>
  <si>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</si>
  <si>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</si>
  <si>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</si>
  <si>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</si>
  <si>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</si>
  <si>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</si>
  <si>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</si>
  <si>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</si>
  <si>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</si>
  <si>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</si>
  <si>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</si>
  <si>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</si>
  <si>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</si>
  <si>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</si>
  <si>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</si>
  <si>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</si>
  <si>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</si>
  <si>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</si>
  <si>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</si>
  <si>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</si>
  <si>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</si>
  <si>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</si>
  <si>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</si>
  <si>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</si>
  <si>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</si>
  <si>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</si>
  <si>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</si>
  <si>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</si>
  <si>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</si>
  <si>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</si>
  <si>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</si>
  <si>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</si>
  <si>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</si>
  <si>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</si>
  <si>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</si>
  <si>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</si>
  <si>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</si>
  <si>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</si>
  <si>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</si>
  <si>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</si>
  <si>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</si>
  <si>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</si>
  <si>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</si>
  <si>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</si>
  <si>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</si>
  <si>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</si>
  <si>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</si>
  <si>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</si>
  <si>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</si>
  <si>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</si>
  <si>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</si>
  <si>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</si>
  <si>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</si>
  <si>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</si>
  <si>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</si>
  <si>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</si>
  <si>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</si>
  <si>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</si>
  <si>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</si>
  <si>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</si>
  <si>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</si>
  <si>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</si>
  <si>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</si>
  <si>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</si>
  <si>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</si>
  <si>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</si>
  <si>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</si>
  <si>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</si>
  <si>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</si>
  <si>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</si>
  <si>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</si>
  <si>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</si>
  <si>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</si>
  <si>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</si>
  <si>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</si>
  <si>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</si>
  <si>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</si>
  <si>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</si>
  <si>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</si>
  <si>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</si>
  <si>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</si>
  <si>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</si>
  <si>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</si>
  <si>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</si>
  <si>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</si>
  <si>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</si>
  <si>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</si>
  <si>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</si>
  <si>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</si>
  <si>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</si>
  <si>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</si>
  <si>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</si>
  <si>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</si>
  <si>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</si>
  <si>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</si>
  <si>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</si>
  <si>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</si>
  <si>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</si>
  <si>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</si>
  <si>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</si>
  <si>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</si>
  <si>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</si>
  <si>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</si>
  <si>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</si>
  <si>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</si>
  <si>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</si>
  <si>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</si>
  <si>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</si>
  <si>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</si>
  <si>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</si>
  <si>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</si>
  <si>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</si>
  <si>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</si>
  <si>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</si>
  <si>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</si>
  <si>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</si>
  <si>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</si>
  <si>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</si>
  <si>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</si>
  <si>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</si>
  <si>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</si>
  <si>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</si>
  <si>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</si>
  <si>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</si>
  <si>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</si>
  <si>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</si>
  <si>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</si>
  <si>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</si>
  <si>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</si>
  <si>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</si>
  <si>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</si>
  <si>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</si>
  <si>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</si>
  <si>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</si>
  <si>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</si>
  <si>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</si>
  <si>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</si>
  <si>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</si>
  <si>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</si>
  <si>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</si>
  <si>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</si>
  <si>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</si>
  <si>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</si>
  <si>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</si>
  <si>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</si>
  <si>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</si>
  <si>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</si>
  <si>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</si>
  <si>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</si>
  <si>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</si>
  <si>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</si>
  <si>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</si>
  <si>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</si>
  <si>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</si>
  <si>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</si>
  <si>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</si>
  <si>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</si>
  <si>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</si>
  <si>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</si>
  <si>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</si>
  <si>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</si>
  <si>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</si>
  <si>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</si>
  <si>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</si>
  <si>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</si>
  <si>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</si>
  <si>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</si>
  <si>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</si>
  <si>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</si>
  <si>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</si>
  <si>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</si>
  <si>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</si>
  <si>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</si>
  <si>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</si>
  <si>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</si>
  <si>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</si>
  <si>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</si>
  <si>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</si>
  <si>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</si>
  <si>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</si>
  <si>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</si>
  <si>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</si>
  <si>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</si>
  <si>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</si>
  <si>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</si>
  <si>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</si>
  <si>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</si>
  <si>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</si>
  <si>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</si>
  <si>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</si>
  <si>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</si>
  <si>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</si>
  <si>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</si>
  <si>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</si>
  <si>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</si>
  <si>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</si>
  <si>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</si>
  <si>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</si>
  <si>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</si>
  <si>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</si>
  <si>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</si>
  <si>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</si>
  <si>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</si>
  <si>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</si>
  <si>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</si>
  <si>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</si>
  <si>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</si>
  <si>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</si>
  <si>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</si>
  <si>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</si>
  <si>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</si>
  <si>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</si>
  <si>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</si>
  <si>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</si>
  <si>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</si>
  <si>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</si>
  <si>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</si>
  <si>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</si>
  <si>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</si>
  <si>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</si>
  <si>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</si>
  <si>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</si>
  <si>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</si>
  <si>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</si>
  <si>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</si>
  <si>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</si>
  <si>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U. S. Bank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</si>
  <si>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</si>
  <si>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</si>
  <si>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</si>
  <si>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</si>
  <si>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</si>
  <si>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</si>
  <si>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</si>
  <si>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</si>
  <si>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</si>
  <si>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</si>
  <si>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</si>
  <si>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</si>
  <si>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</si>
  <si>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</si>
  <si>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</si>
  <si>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</si>
  <si>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</si>
  <si>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</si>
  <si>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</si>
  <si>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</si>
  <si>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</si>
  <si>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</si>
  <si>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</si>
  <si>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</si>
  <si>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</si>
  <si>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</si>
  <si>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</si>
  <si>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</si>
  <si>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</si>
  <si>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</si>
  <si>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</si>
  <si>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</si>
  <si>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</si>
  <si>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</si>
  <si>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</si>
  <si>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</si>
  <si>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</si>
  <si>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</si>
  <si>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</si>
  <si>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</si>
  <si>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</si>
  <si>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</si>
  <si>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</si>
  <si>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</si>
  <si>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</si>
  <si>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</si>
  <si>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</si>
  <si>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</si>
  <si>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</si>
  <si>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</si>
  <si>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</si>
  <si>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</si>
  <si>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</si>
  <si>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</si>
  <si>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</si>
  <si>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</si>
  <si>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</si>
  <si>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</si>
  <si>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</si>
  <si>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</si>
  <si>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</si>
  <si>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</si>
  <si>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</si>
  <si>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</si>
  <si>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</si>
  <si>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</si>
  <si>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</si>
  <si>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</si>
  <si>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</si>
  <si>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</si>
  <si>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</si>
  <si>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</si>
  <si>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</si>
  <si>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</si>
  <si>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</si>
  <si>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</si>
  <si>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</si>
  <si>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</si>
  <si>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</si>
  <si>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</si>
  <si>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</si>
  <si>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</si>
  <si>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</si>
  <si>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</si>
  <si>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</si>
  <si>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</si>
  <si>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</si>
  <si>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</si>
  <si>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</si>
  <si>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</si>
  <si>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</si>
  <si>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</si>
  <si>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</si>
  <si>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</si>
  <si>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</si>
  <si>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</si>
  <si>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</si>
  <si>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</si>
  <si>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</si>
  <si>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</si>
  <si>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</si>
  <si>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</si>
  <si>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</si>
  <si>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</si>
  <si>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</si>
  <si>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</si>
  <si>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</si>
  <si>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</si>
  <si>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</si>
  <si>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</si>
  <si>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</si>
  <si>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</si>
  <si>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</si>
  <si>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</si>
  <si>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</si>
  <si>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</si>
  <si>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</si>
  <si>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</si>
  <si>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</si>
  <si>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</si>
  <si>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</si>
  <si>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</si>
  <si>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</si>
  <si>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</si>
  <si>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</si>
  <si>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</si>
  <si>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</si>
  <si>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</si>
  <si>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</si>
  <si>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</si>
  <si>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</si>
  <si>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</si>
  <si>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</si>
  <si>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</si>
  <si>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</si>
  <si>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</si>
  <si>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</si>
  <si>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</si>
  <si>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</si>
  <si>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</si>
  <si>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</si>
  <si>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</si>
  <si>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</si>
  <si>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</si>
  <si>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</si>
  <si>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</si>
  <si>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</si>
  <si>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</si>
  <si>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</si>
  <si>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</si>
  <si>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</si>
  <si>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</si>
  <si>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</si>
  <si>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</si>
  <si>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</si>
  <si>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</si>
  <si>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</si>
  <si>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</si>
  <si>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</si>
  <si>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</si>
  <si>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</si>
  <si>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</si>
  <si>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</si>
  <si>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</si>
  <si>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</si>
  <si>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</si>
  <si>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</si>
  <si>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</si>
  <si>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</si>
  <si>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</si>
  <si>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</si>
  <si>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</si>
  <si>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</si>
  <si>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</si>
  <si>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</si>
  <si>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</si>
  <si>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</si>
  <si>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</si>
  <si>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</si>
  <si>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</si>
  <si>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</si>
  <si>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</si>
  <si>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</si>
  <si>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</si>
  <si>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</si>
  <si>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</si>
  <si>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</si>
  <si>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</si>
  <si>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</si>
  <si>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</si>
  <si>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</si>
  <si>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</si>
  <si>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</si>
  <si>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</si>
  <si>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</si>
  <si>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</si>
  <si>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</si>
  <si>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</si>
  <si>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</si>
  <si>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</si>
  <si>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</si>
  <si>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</si>
  <si>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</si>
  <si>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</si>
  <si>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</si>
  <si>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</si>
  <si>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</si>
  <si>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</si>
  <si>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</si>
  <si>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</si>
  <si>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</si>
  <si>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</si>
  <si>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</si>
  <si>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</si>
  <si>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</si>
  <si>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</si>
  <si>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</si>
  <si>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</si>
  <si>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</si>
  <si>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</si>
  <si>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</si>
  <si>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</si>
  <si>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</si>
  <si>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</si>
  <si>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</si>
  <si>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</si>
  <si>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</si>
  <si>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</si>
  <si>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</si>
  <si>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</si>
  <si>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</si>
  <si>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</si>
  <si>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</si>
  <si>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</si>
  <si>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</si>
  <si>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</si>
  <si>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</si>
  <si>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</si>
  <si>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</si>
  <si>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</si>
  <si>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</si>
  <si>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</si>
  <si>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</si>
  <si>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</si>
  <si>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</si>
  <si>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</si>
  <si>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</si>
  <si>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</si>
  <si>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</si>
  <si>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</si>
  <si>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</si>
  <si>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</si>
  <si>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</si>
  <si>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</si>
  <si>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</si>
  <si>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</si>
  <si>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</si>
  <si>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</si>
  <si>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</si>
  <si>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</si>
  <si>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</si>
  <si>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</si>
  <si>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</si>
  <si>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</si>
  <si>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</si>
  <si>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</si>
  <si>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</si>
  <si>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</si>
  <si>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</si>
  <si>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</si>
  <si>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</si>
  <si>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</si>
  <si>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</si>
  <si>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</si>
  <si>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</si>
  <si>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</si>
  <si>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</si>
  <si>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</si>
  <si>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</si>
  <si>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</si>
  <si>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</si>
  <si>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</si>
  <si>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</si>
  <si>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</si>
  <si>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</si>
  <si>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</si>
  <si>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</si>
  <si>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</si>
  <si>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</si>
  <si>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</si>
  <si>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</si>
  <si>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</si>
  <si>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</si>
  <si>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</si>
  <si>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r>
      <t xml:space="preserve">WARN REPORT - </t>
    </r>
    <r>
      <rPr>
        <b/>
        <sz val="12"/>
        <rFont val="Calibri"/>
        <family val="2"/>
        <scheme val="minor"/>
      </rPr>
      <t>07/01/23 to 11/06/23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H464.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</si>
</sst>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464" totalsRowShown="0" headerRowDxfId="11" headerRowBorderDxfId="10" tableBorderDxfId="9" totalsRowBorderDxfId="8">
  <autoFilter ref="A2:H464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23996</v>
      </c>
    </row>
    <row r="4" spans="1:2" x14ac:dyDescent="0.3">
      <c r="A4" s="2" t="s">
        <v>21</v>
      </c>
      <c r="B4" s="5">
        <f>COUNTIF('Detailed WARN Report '!F:F,"Layoff Permanent")</f>
        <v>294</v>
      </c>
    </row>
    <row r="5" spans="1:2" x14ac:dyDescent="0.3">
      <c r="A5" s="2" t="s">
        <v>22</v>
      </c>
      <c r="B5" s="5">
        <f>COUNTIF('Detailed WARN Report '!F:F,"Layoff Temporary")</f>
        <v>10</v>
      </c>
    </row>
    <row r="6" spans="1:2" x14ac:dyDescent="0.3">
      <c r="A6" s="2" t="s">
        <v>23</v>
      </c>
      <c r="B6" s="5">
        <f>COUNTIF('Detailed WARN Report '!F:F,"Layoff Not Identified")</f>
        <v>0</v>
      </c>
    </row>
    <row r="7" spans="1:2" x14ac:dyDescent="0.3">
      <c r="A7" s="2" t="s">
        <v>24</v>
      </c>
      <c r="B7" s="5">
        <f>COUNTIF('Detailed WARN Report '!F:F,"Closure Permanent")</f>
        <v>149</v>
      </c>
    </row>
    <row r="8" spans="1:2" x14ac:dyDescent="0.3">
      <c r="A8" s="2" t="s">
        <v>25</v>
      </c>
      <c r="B8" s="5">
        <f>COUNTIF('Detailed WARN Report '!F:F,"Closure Temporary")</f>
        <v>9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464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2.44140625" style="1" customWidth="1"/>
    <col min="6" max="6" width="14.33203125" bestFit="1" customWidth="1"/>
    <col min="7" max="7" width="9.88671875" bestFit="1" customWidth="1"/>
    <col min="8" max="8" width="63.5546875" customWidth="1"/>
  </cols>
  <sheetData>
    <row r="1" spans="1:8" ht="99.6" x14ac:dyDescent="0.3">
      <c r="A1" s="7" t="s">
        <v>693</v>
      </c>
      <c r="D1" s="6"/>
      <c r="E1" s="6"/>
      <c r="F1" s="6"/>
      <c r="G1" s="6"/>
      <c r="H1" s="6"/>
    </row>
    <row r="2" spans="1:8" ht="28.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3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3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3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3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3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3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3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3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3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3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3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3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3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3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3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3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3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3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3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3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3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3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3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3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3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3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3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3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3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3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3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3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3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3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3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3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3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3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3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3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3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3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3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3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3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3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3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3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3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3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3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3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3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3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3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3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3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3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3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3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3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3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3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3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3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3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3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3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3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3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3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3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3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3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3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3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3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3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3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3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3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3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3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3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3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3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3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3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3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3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3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3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3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3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3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3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3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3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3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3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3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3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3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3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3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3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3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3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3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3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3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3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3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3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3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3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395</v>
      </c>
      <c r="F234" s="19" t="s">
        <v>16</v>
      </c>
      <c r="G234" s="20">
        <v>68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398</v>
      </c>
      <c r="F235" s="16" t="s">
        <v>16</v>
      </c>
      <c r="G235" s="17">
        <v>1</v>
      </c>
      <c r="H235" s="18" t="s">
        <v>399</v>
      </c>
    </row>
    <row r="236" spans="1:8" x14ac:dyDescent="0.3">
      <c r="A236" s="14" t="s">
        <v>97</v>
      </c>
      <c r="B236" s="15">
        <v>45160</v>
      </c>
      <c r="C236" s="15">
        <v>45190</v>
      </c>
      <c r="D236" s="15">
        <v>45220</v>
      </c>
      <c r="E236" s="19" t="s">
        <v>400</v>
      </c>
      <c r="F236" s="19" t="s">
        <v>15</v>
      </c>
      <c r="G236" s="20">
        <v>4</v>
      </c>
      <c r="H236" s="21" t="s">
        <v>401</v>
      </c>
    </row>
    <row r="237" spans="1:8" x14ac:dyDescent="0.3">
      <c r="A237" s="12" t="s">
        <v>7</v>
      </c>
      <c r="B237" s="13">
        <v>45160</v>
      </c>
      <c r="C237" s="13">
        <v>45190</v>
      </c>
      <c r="D237" s="13">
        <v>45219</v>
      </c>
      <c r="E237" s="16" t="s">
        <v>402</v>
      </c>
      <c r="F237" s="16" t="s">
        <v>16</v>
      </c>
      <c r="G237" s="17">
        <v>50</v>
      </c>
      <c r="H237" s="18" t="s">
        <v>403</v>
      </c>
    </row>
    <row r="238" spans="1:8" x14ac:dyDescent="0.3">
      <c r="A238" s="14" t="s">
        <v>252</v>
      </c>
      <c r="B238" s="15">
        <v>45160</v>
      </c>
      <c r="C238" s="15">
        <v>45190</v>
      </c>
      <c r="D238" s="15">
        <v>45220</v>
      </c>
      <c r="E238" s="19" t="s">
        <v>400</v>
      </c>
      <c r="F238" s="19" t="s">
        <v>15</v>
      </c>
      <c r="G238" s="20">
        <v>150</v>
      </c>
      <c r="H238" s="21" t="s">
        <v>404</v>
      </c>
    </row>
    <row r="239" spans="1:8" x14ac:dyDescent="0.3">
      <c r="A239" s="12" t="s">
        <v>63</v>
      </c>
      <c r="B239" s="13">
        <v>45134</v>
      </c>
      <c r="C239" s="13">
        <v>45191</v>
      </c>
      <c r="D239" s="13">
        <v>45170</v>
      </c>
      <c r="E239" s="16" t="s">
        <v>405</v>
      </c>
      <c r="F239" s="16" t="s">
        <v>16</v>
      </c>
      <c r="G239" s="17">
        <v>9</v>
      </c>
      <c r="H239" s="18" t="s">
        <v>406</v>
      </c>
    </row>
    <row r="240" spans="1:8" x14ac:dyDescent="0.3">
      <c r="A240" s="14" t="s">
        <v>63</v>
      </c>
      <c r="B240" s="15">
        <v>45134</v>
      </c>
      <c r="C240" s="15">
        <v>45191</v>
      </c>
      <c r="D240" s="15">
        <v>45170</v>
      </c>
      <c r="E240" s="19" t="s">
        <v>405</v>
      </c>
      <c r="F240" s="19" t="s">
        <v>16</v>
      </c>
      <c r="G240" s="20">
        <v>13</v>
      </c>
      <c r="H240" s="21" t="s">
        <v>407</v>
      </c>
    </row>
    <row r="241" spans="1:8" x14ac:dyDescent="0.3">
      <c r="A241" s="12" t="s">
        <v>63</v>
      </c>
      <c r="B241" s="13">
        <v>45134</v>
      </c>
      <c r="C241" s="13">
        <v>45191</v>
      </c>
      <c r="D241" s="13">
        <v>45170</v>
      </c>
      <c r="E241" s="16" t="s">
        <v>405</v>
      </c>
      <c r="F241" s="16" t="s">
        <v>16</v>
      </c>
      <c r="G241" s="17">
        <v>3</v>
      </c>
      <c r="H241" s="18" t="s">
        <v>408</v>
      </c>
    </row>
    <row r="242" spans="1:8" x14ac:dyDescent="0.3">
      <c r="A242" s="14" t="s">
        <v>63</v>
      </c>
      <c r="B242" s="15">
        <v>45134</v>
      </c>
      <c r="C242" s="15">
        <v>45191</v>
      </c>
      <c r="D242" s="15">
        <v>45170</v>
      </c>
      <c r="E242" s="19" t="s">
        <v>405</v>
      </c>
      <c r="F242" s="19" t="s">
        <v>16</v>
      </c>
      <c r="G242" s="20">
        <v>12</v>
      </c>
      <c r="H242" s="21" t="s">
        <v>409</v>
      </c>
    </row>
    <row r="243" spans="1:8" x14ac:dyDescent="0.3">
      <c r="A243" s="12" t="s">
        <v>5</v>
      </c>
      <c r="B243" s="13">
        <v>45141</v>
      </c>
      <c r="C243" s="13">
        <v>45191</v>
      </c>
      <c r="D243" s="13">
        <v>45199</v>
      </c>
      <c r="E243" s="16" t="s">
        <v>410</v>
      </c>
      <c r="F243" s="16" t="s">
        <v>16</v>
      </c>
      <c r="G243" s="17">
        <v>20</v>
      </c>
      <c r="H243" s="18" t="s">
        <v>411</v>
      </c>
    </row>
    <row r="244" spans="1:8" x14ac:dyDescent="0.3">
      <c r="A244" s="14" t="s">
        <v>14</v>
      </c>
      <c r="B244" s="15">
        <v>45136</v>
      </c>
      <c r="C244" s="15">
        <v>45194</v>
      </c>
      <c r="D244" s="15">
        <v>45199</v>
      </c>
      <c r="E244" s="19" t="s">
        <v>412</v>
      </c>
      <c r="F244" s="19" t="s">
        <v>15</v>
      </c>
      <c r="G244" s="20">
        <v>10</v>
      </c>
      <c r="H244" s="21" t="s">
        <v>413</v>
      </c>
    </row>
    <row r="245" spans="1:8" x14ac:dyDescent="0.3">
      <c r="A245" s="12" t="s">
        <v>7</v>
      </c>
      <c r="B245" s="13">
        <v>45149</v>
      </c>
      <c r="C245" s="13">
        <v>45194</v>
      </c>
      <c r="D245" s="13">
        <v>45215</v>
      </c>
      <c r="E245" s="16" t="s">
        <v>156</v>
      </c>
      <c r="F245" s="16" t="s">
        <v>15</v>
      </c>
      <c r="G245" s="17">
        <v>240</v>
      </c>
      <c r="H245" s="18" t="s">
        <v>414</v>
      </c>
    </row>
    <row r="246" spans="1:8" x14ac:dyDescent="0.3">
      <c r="A246" s="14" t="s">
        <v>7</v>
      </c>
      <c r="B246" s="15">
        <v>45152</v>
      </c>
      <c r="C246" s="15">
        <v>45194</v>
      </c>
      <c r="D246" s="15">
        <v>45214</v>
      </c>
      <c r="E246" s="19" t="s">
        <v>415</v>
      </c>
      <c r="F246" s="19" t="s">
        <v>16</v>
      </c>
      <c r="G246" s="20">
        <v>139</v>
      </c>
      <c r="H246" s="21" t="s">
        <v>416</v>
      </c>
    </row>
    <row r="247" spans="1:8" x14ac:dyDescent="0.3">
      <c r="A247" s="12" t="s">
        <v>11</v>
      </c>
      <c r="B247" s="13">
        <v>45136</v>
      </c>
      <c r="C247" s="13">
        <v>45194</v>
      </c>
      <c r="D247" s="13">
        <v>45199</v>
      </c>
      <c r="E247" s="16" t="s">
        <v>412</v>
      </c>
      <c r="F247" s="16" t="s">
        <v>15</v>
      </c>
      <c r="G247" s="17">
        <v>13</v>
      </c>
      <c r="H247" s="18" t="s">
        <v>417</v>
      </c>
    </row>
    <row r="248" spans="1:8" x14ac:dyDescent="0.3">
      <c r="A248" s="14" t="s">
        <v>6</v>
      </c>
      <c r="B248" s="15">
        <v>45160</v>
      </c>
      <c r="C248" s="15">
        <v>45195</v>
      </c>
      <c r="D248" s="15">
        <v>45177</v>
      </c>
      <c r="E248" s="19" t="s">
        <v>395</v>
      </c>
      <c r="F248" s="19" t="s">
        <v>16</v>
      </c>
      <c r="G248" s="20">
        <v>34</v>
      </c>
      <c r="H248" s="21" t="s">
        <v>418</v>
      </c>
    </row>
    <row r="249" spans="1:8" x14ac:dyDescent="0.3">
      <c r="A249" s="12" t="s">
        <v>6</v>
      </c>
      <c r="B249" s="13">
        <v>45160</v>
      </c>
      <c r="C249" s="13">
        <v>45195</v>
      </c>
      <c r="D249" s="13">
        <v>45198</v>
      </c>
      <c r="E249" s="16" t="s">
        <v>395</v>
      </c>
      <c r="F249" s="16" t="s">
        <v>16</v>
      </c>
      <c r="G249" s="17">
        <v>11</v>
      </c>
      <c r="H249" s="18" t="s">
        <v>418</v>
      </c>
    </row>
    <row r="250" spans="1:8" x14ac:dyDescent="0.3">
      <c r="A250" s="14" t="s">
        <v>6</v>
      </c>
      <c r="B250" s="15">
        <v>45160</v>
      </c>
      <c r="C250" s="15">
        <v>45195</v>
      </c>
      <c r="D250" s="15">
        <v>45191</v>
      </c>
      <c r="E250" s="19" t="s">
        <v>395</v>
      </c>
      <c r="F250" s="19" t="s">
        <v>16</v>
      </c>
      <c r="G250" s="20">
        <v>1</v>
      </c>
      <c r="H250" s="21" t="s">
        <v>418</v>
      </c>
    </row>
    <row r="251" spans="1:8" x14ac:dyDescent="0.3">
      <c r="A251" s="12" t="s">
        <v>6</v>
      </c>
      <c r="B251" s="13">
        <v>45160</v>
      </c>
      <c r="C251" s="13">
        <v>45195</v>
      </c>
      <c r="D251" s="13">
        <v>45205</v>
      </c>
      <c r="E251" s="16" t="s">
        <v>395</v>
      </c>
      <c r="F251" s="16" t="s">
        <v>16</v>
      </c>
      <c r="G251" s="17">
        <v>8</v>
      </c>
      <c r="H251" s="18" t="s">
        <v>418</v>
      </c>
    </row>
    <row r="252" spans="1:8" x14ac:dyDescent="0.3">
      <c r="A252" s="14" t="s">
        <v>86</v>
      </c>
      <c r="B252" s="15">
        <v>45161</v>
      </c>
      <c r="C252" s="15">
        <v>45196</v>
      </c>
      <c r="D252" s="15">
        <v>45221</v>
      </c>
      <c r="E252" s="19" t="s">
        <v>419</v>
      </c>
      <c r="F252" s="19" t="s">
        <v>16</v>
      </c>
      <c r="G252" s="20">
        <v>21</v>
      </c>
      <c r="H252" s="21" t="s">
        <v>420</v>
      </c>
    </row>
    <row r="253" spans="1:8" x14ac:dyDescent="0.3">
      <c r="A253" s="12" t="s">
        <v>5</v>
      </c>
      <c r="B253" s="13">
        <v>45153</v>
      </c>
      <c r="C253" s="13">
        <v>45196</v>
      </c>
      <c r="D253" s="13">
        <v>45185</v>
      </c>
      <c r="E253" s="16" t="s">
        <v>421</v>
      </c>
      <c r="F253" s="16" t="s">
        <v>15</v>
      </c>
      <c r="G253" s="17">
        <v>53</v>
      </c>
      <c r="H253" s="18" t="s">
        <v>422</v>
      </c>
    </row>
    <row r="254" spans="1:8" x14ac:dyDescent="0.3">
      <c r="A254" s="14" t="s">
        <v>5</v>
      </c>
      <c r="B254" s="15">
        <v>45161</v>
      </c>
      <c r="C254" s="15">
        <v>45196</v>
      </c>
      <c r="D254" s="15">
        <v>45221</v>
      </c>
      <c r="E254" s="19" t="s">
        <v>419</v>
      </c>
      <c r="F254" s="19" t="s">
        <v>16</v>
      </c>
      <c r="G254" s="20">
        <v>95</v>
      </c>
      <c r="H254" s="21" t="s">
        <v>423</v>
      </c>
    </row>
    <row r="255" spans="1:8" x14ac:dyDescent="0.3">
      <c r="A255" s="12" t="s">
        <v>63</v>
      </c>
      <c r="B255" s="13">
        <v>45155</v>
      </c>
      <c r="C255" s="13">
        <v>45196</v>
      </c>
      <c r="D255" s="13">
        <v>45215</v>
      </c>
      <c r="E255" s="16" t="s">
        <v>89</v>
      </c>
      <c r="F255" s="16" t="s">
        <v>16</v>
      </c>
      <c r="G255" s="17">
        <v>2</v>
      </c>
      <c r="H255" s="18" t="s">
        <v>90</v>
      </c>
    </row>
    <row r="256" spans="1:8" x14ac:dyDescent="0.3">
      <c r="A256" s="14" t="s">
        <v>63</v>
      </c>
      <c r="B256" s="15">
        <v>45189</v>
      </c>
      <c r="C256" s="15">
        <v>45196</v>
      </c>
      <c r="D256" s="15">
        <v>45250</v>
      </c>
      <c r="E256" s="19" t="s">
        <v>89</v>
      </c>
      <c r="F256" s="19" t="s">
        <v>16</v>
      </c>
      <c r="G256" s="20">
        <v>1</v>
      </c>
      <c r="H256" s="21" t="s">
        <v>90</v>
      </c>
    </row>
    <row r="257" spans="1:8" x14ac:dyDescent="0.3">
      <c r="A257" s="12" t="s">
        <v>66</v>
      </c>
      <c r="B257" s="13">
        <v>45156</v>
      </c>
      <c r="C257" s="13">
        <v>45196</v>
      </c>
      <c r="D257" s="13">
        <v>45150</v>
      </c>
      <c r="E257" s="16" t="s">
        <v>424</v>
      </c>
      <c r="F257" s="16" t="s">
        <v>99</v>
      </c>
      <c r="G257" s="17">
        <v>110</v>
      </c>
      <c r="H257" s="18" t="s">
        <v>425</v>
      </c>
    </row>
    <row r="258" spans="1:8" x14ac:dyDescent="0.3">
      <c r="A258" s="14" t="s">
        <v>76</v>
      </c>
      <c r="B258" s="15">
        <v>45161</v>
      </c>
      <c r="C258" s="15">
        <v>45196</v>
      </c>
      <c r="D258" s="15">
        <v>45233</v>
      </c>
      <c r="E258" s="19" t="s">
        <v>426</v>
      </c>
      <c r="F258" s="19" t="s">
        <v>16</v>
      </c>
      <c r="G258" s="20">
        <v>80</v>
      </c>
      <c r="H258" s="21" t="s">
        <v>427</v>
      </c>
    </row>
    <row r="259" spans="1:8" x14ac:dyDescent="0.3">
      <c r="A259" s="12" t="s">
        <v>6</v>
      </c>
      <c r="B259" s="13">
        <v>45154</v>
      </c>
      <c r="C259" s="13">
        <v>45196</v>
      </c>
      <c r="D259" s="13">
        <v>45200</v>
      </c>
      <c r="E259" s="16" t="s">
        <v>428</v>
      </c>
      <c r="F259" s="16" t="s">
        <v>99</v>
      </c>
      <c r="G259" s="17">
        <v>44</v>
      </c>
      <c r="H259" s="18" t="s">
        <v>429</v>
      </c>
    </row>
    <row r="260" spans="1:8" x14ac:dyDescent="0.3">
      <c r="A260" s="14" t="s">
        <v>6</v>
      </c>
      <c r="B260" s="15">
        <v>45154</v>
      </c>
      <c r="C260" s="15">
        <v>45196</v>
      </c>
      <c r="D260" s="15">
        <v>45200</v>
      </c>
      <c r="E260" s="19" t="s">
        <v>428</v>
      </c>
      <c r="F260" s="19" t="s">
        <v>99</v>
      </c>
      <c r="G260" s="20">
        <v>22</v>
      </c>
      <c r="H260" s="21" t="s">
        <v>430</v>
      </c>
    </row>
    <row r="261" spans="1:8" x14ac:dyDescent="0.3">
      <c r="A261" s="12" t="s">
        <v>5</v>
      </c>
      <c r="B261" s="13">
        <v>45166</v>
      </c>
      <c r="C261" s="13">
        <v>45197</v>
      </c>
      <c r="D261" s="13">
        <v>45229</v>
      </c>
      <c r="E261" s="16" t="s">
        <v>431</v>
      </c>
      <c r="F261" s="16" t="s">
        <v>16</v>
      </c>
      <c r="G261" s="17">
        <v>124</v>
      </c>
      <c r="H261" s="18" t="s">
        <v>432</v>
      </c>
    </row>
    <row r="262" spans="1:8" x14ac:dyDescent="0.3">
      <c r="A262" s="14" t="s">
        <v>5</v>
      </c>
      <c r="B262" s="15">
        <v>45166</v>
      </c>
      <c r="C262" s="15">
        <v>45197</v>
      </c>
      <c r="D262" s="15">
        <v>45229</v>
      </c>
      <c r="E262" s="19" t="s">
        <v>551</v>
      </c>
      <c r="F262" s="19" t="s">
        <v>16</v>
      </c>
      <c r="G262" s="20">
        <v>2</v>
      </c>
      <c r="H262" s="21" t="s">
        <v>433</v>
      </c>
    </row>
    <row r="263" spans="1:8" x14ac:dyDescent="0.3">
      <c r="A263" s="12" t="s">
        <v>5</v>
      </c>
      <c r="B263" s="13">
        <v>45166</v>
      </c>
      <c r="C263" s="13">
        <v>45197</v>
      </c>
      <c r="D263" s="13">
        <v>45229</v>
      </c>
      <c r="E263" s="16" t="s">
        <v>552</v>
      </c>
      <c r="F263" s="16" t="s">
        <v>16</v>
      </c>
      <c r="G263" s="17">
        <v>64</v>
      </c>
      <c r="H263" s="18" t="s">
        <v>432</v>
      </c>
    </row>
    <row r="264" spans="1:8" x14ac:dyDescent="0.3">
      <c r="A264" s="14" t="s">
        <v>5</v>
      </c>
      <c r="B264" s="15">
        <v>45166</v>
      </c>
      <c r="C264" s="15">
        <v>45197</v>
      </c>
      <c r="D264" s="15">
        <v>45229</v>
      </c>
      <c r="E264" s="19" t="s">
        <v>434</v>
      </c>
      <c r="F264" s="19" t="s">
        <v>16</v>
      </c>
      <c r="G264" s="20">
        <v>135</v>
      </c>
      <c r="H264" s="21" t="s">
        <v>433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45257</v>
      </c>
      <c r="E265" s="16" t="s">
        <v>552</v>
      </c>
      <c r="F265" s="16" t="s">
        <v>16</v>
      </c>
      <c r="G265" s="17">
        <v>3</v>
      </c>
      <c r="H265" s="18" t="s">
        <v>432</v>
      </c>
    </row>
    <row r="266" spans="1:8" x14ac:dyDescent="0.3">
      <c r="A266" s="14" t="s">
        <v>5</v>
      </c>
      <c r="B266" s="15">
        <v>45166</v>
      </c>
      <c r="C266" s="15">
        <v>45197</v>
      </c>
      <c r="D266" s="15">
        <v>45258</v>
      </c>
      <c r="E266" s="19" t="s">
        <v>552</v>
      </c>
      <c r="F266" s="19" t="s">
        <v>16</v>
      </c>
      <c r="G266" s="20">
        <v>1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45286</v>
      </c>
      <c r="E267" s="16" t="s">
        <v>434</v>
      </c>
      <c r="F267" s="16" t="s">
        <v>16</v>
      </c>
      <c r="G267" s="17">
        <v>1</v>
      </c>
      <c r="H267" s="18" t="s">
        <v>432</v>
      </c>
    </row>
    <row r="268" spans="1:8" x14ac:dyDescent="0.3">
      <c r="A268" s="14" t="s">
        <v>5</v>
      </c>
      <c r="B268" s="15">
        <v>45166</v>
      </c>
      <c r="C268" s="15">
        <v>45197</v>
      </c>
      <c r="D268" s="15">
        <v>45247</v>
      </c>
      <c r="E268" s="19" t="s">
        <v>434</v>
      </c>
      <c r="F268" s="19" t="s">
        <v>16</v>
      </c>
      <c r="G268" s="20">
        <v>1</v>
      </c>
      <c r="H268" s="21" t="s">
        <v>433</v>
      </c>
    </row>
    <row r="269" spans="1:8" x14ac:dyDescent="0.3">
      <c r="A269" s="12" t="s">
        <v>66</v>
      </c>
      <c r="B269" s="13">
        <v>45152</v>
      </c>
      <c r="C269" s="13">
        <v>45197</v>
      </c>
      <c r="D269" s="13">
        <v>45214</v>
      </c>
      <c r="E269" s="16" t="s">
        <v>435</v>
      </c>
      <c r="F269" s="16" t="s">
        <v>15</v>
      </c>
      <c r="G269" s="17">
        <v>19</v>
      </c>
      <c r="H269" s="18" t="s">
        <v>436</v>
      </c>
    </row>
    <row r="270" spans="1:8" x14ac:dyDescent="0.3">
      <c r="A270" s="14" t="s">
        <v>11</v>
      </c>
      <c r="B270" s="15">
        <v>45166</v>
      </c>
      <c r="C270" s="15">
        <v>45197</v>
      </c>
      <c r="D270" s="15">
        <v>45228</v>
      </c>
      <c r="E270" s="19" t="s">
        <v>437</v>
      </c>
      <c r="F270" s="19" t="s">
        <v>15</v>
      </c>
      <c r="G270" s="20">
        <v>39</v>
      </c>
      <c r="H270" s="21" t="s">
        <v>438</v>
      </c>
    </row>
    <row r="271" spans="1:8" x14ac:dyDescent="0.3">
      <c r="A271" s="12" t="s">
        <v>11</v>
      </c>
      <c r="B271" s="13">
        <v>45166</v>
      </c>
      <c r="C271" s="13">
        <v>45197</v>
      </c>
      <c r="D271" s="13">
        <v>45228</v>
      </c>
      <c r="E271" s="16" t="s">
        <v>437</v>
      </c>
      <c r="F271" s="16" t="s">
        <v>15</v>
      </c>
      <c r="G271" s="17">
        <v>14</v>
      </c>
      <c r="H271" s="18" t="s">
        <v>439</v>
      </c>
    </row>
    <row r="272" spans="1:8" x14ac:dyDescent="0.3">
      <c r="A272" s="14" t="s">
        <v>9</v>
      </c>
      <c r="B272" s="15">
        <v>45163</v>
      </c>
      <c r="C272" s="15">
        <v>45197</v>
      </c>
      <c r="D272" s="15">
        <v>45214</v>
      </c>
      <c r="E272" s="19" t="s">
        <v>51</v>
      </c>
      <c r="F272" s="19" t="s">
        <v>16</v>
      </c>
      <c r="G272" s="20">
        <v>58</v>
      </c>
      <c r="H272" s="21" t="s">
        <v>230</v>
      </c>
    </row>
    <row r="273" spans="1:8" x14ac:dyDescent="0.3">
      <c r="A273" s="12" t="s">
        <v>52</v>
      </c>
      <c r="B273" s="13">
        <v>45162</v>
      </c>
      <c r="C273" s="13">
        <v>45197</v>
      </c>
      <c r="D273" s="13">
        <v>45177</v>
      </c>
      <c r="E273" s="16" t="s">
        <v>440</v>
      </c>
      <c r="F273" s="16" t="s">
        <v>16</v>
      </c>
      <c r="G273" s="17">
        <v>5</v>
      </c>
      <c r="H273" s="18" t="s">
        <v>505</v>
      </c>
    </row>
    <row r="274" spans="1:8" x14ac:dyDescent="0.3">
      <c r="A274" s="14" t="s">
        <v>52</v>
      </c>
      <c r="B274" s="15">
        <v>45162</v>
      </c>
      <c r="C274" s="15">
        <v>45197</v>
      </c>
      <c r="D274" s="15">
        <v>45177</v>
      </c>
      <c r="E274" s="19" t="s">
        <v>506</v>
      </c>
      <c r="F274" s="19" t="s">
        <v>16</v>
      </c>
      <c r="G274" s="20">
        <v>26</v>
      </c>
      <c r="H274" s="21" t="s">
        <v>507</v>
      </c>
    </row>
    <row r="275" spans="1:8" x14ac:dyDescent="0.3">
      <c r="A275" s="12" t="s">
        <v>52</v>
      </c>
      <c r="B275" s="13">
        <v>45162</v>
      </c>
      <c r="C275" s="13">
        <v>45197</v>
      </c>
      <c r="D275" s="13">
        <v>45214</v>
      </c>
      <c r="E275" s="16" t="s">
        <v>508</v>
      </c>
      <c r="F275" s="16" t="s">
        <v>16</v>
      </c>
      <c r="G275" s="17">
        <v>1</v>
      </c>
      <c r="H275" s="18" t="s">
        <v>509</v>
      </c>
    </row>
    <row r="276" spans="1:8" x14ac:dyDescent="0.3">
      <c r="A276" s="14" t="s">
        <v>52</v>
      </c>
      <c r="B276" s="15">
        <v>45162</v>
      </c>
      <c r="C276" s="15">
        <v>45197</v>
      </c>
      <c r="D276" s="15">
        <v>45199</v>
      </c>
      <c r="E276" s="19" t="s">
        <v>510</v>
      </c>
      <c r="F276" s="19" t="s">
        <v>16</v>
      </c>
      <c r="G276" s="20">
        <v>3</v>
      </c>
      <c r="H276" s="21" t="s">
        <v>507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45260</v>
      </c>
      <c r="E277" s="16" t="s">
        <v>511</v>
      </c>
      <c r="F277" s="16" t="s">
        <v>16</v>
      </c>
      <c r="G277" s="17">
        <v>5</v>
      </c>
      <c r="H277" s="18" t="s">
        <v>507</v>
      </c>
    </row>
    <row r="278" spans="1:8" x14ac:dyDescent="0.3">
      <c r="A278" s="14" t="s">
        <v>52</v>
      </c>
      <c r="B278" s="15">
        <v>45162</v>
      </c>
      <c r="C278" s="15">
        <v>45197</v>
      </c>
      <c r="D278" s="15">
        <v>45291</v>
      </c>
      <c r="E278" s="19" t="s">
        <v>512</v>
      </c>
      <c r="F278" s="19" t="s">
        <v>16</v>
      </c>
      <c r="G278" s="20">
        <v>3</v>
      </c>
      <c r="H278" s="21" t="s">
        <v>507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45275</v>
      </c>
      <c r="E279" s="16" t="s">
        <v>512</v>
      </c>
      <c r="F279" s="16" t="s">
        <v>16</v>
      </c>
      <c r="G279" s="17">
        <v>1</v>
      </c>
      <c r="H279" s="18" t="s">
        <v>513</v>
      </c>
    </row>
    <row r="280" spans="1:8" x14ac:dyDescent="0.3">
      <c r="A280" s="14" t="s">
        <v>52</v>
      </c>
      <c r="B280" s="15">
        <v>45162</v>
      </c>
      <c r="C280" s="15">
        <v>45197</v>
      </c>
      <c r="D280" s="15">
        <v>45230</v>
      </c>
      <c r="E280" s="19" t="s">
        <v>510</v>
      </c>
      <c r="F280" s="19" t="s">
        <v>16</v>
      </c>
      <c r="G280" s="20">
        <v>1</v>
      </c>
      <c r="H280" s="21" t="s">
        <v>507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45177</v>
      </c>
      <c r="E281" s="16" t="s">
        <v>514</v>
      </c>
      <c r="F281" s="16" t="s">
        <v>16</v>
      </c>
      <c r="G281" s="17">
        <v>12</v>
      </c>
      <c r="H281" s="18" t="s">
        <v>515</v>
      </c>
    </row>
    <row r="282" spans="1:8" x14ac:dyDescent="0.3">
      <c r="A282" s="14" t="s">
        <v>52</v>
      </c>
      <c r="B282" s="15">
        <v>45162</v>
      </c>
      <c r="C282" s="15">
        <v>45197</v>
      </c>
      <c r="D282" s="15">
        <v>45214</v>
      </c>
      <c r="E282" s="19" t="s">
        <v>514</v>
      </c>
      <c r="F282" s="19" t="s">
        <v>16</v>
      </c>
      <c r="G282" s="20">
        <v>2</v>
      </c>
      <c r="H282" s="21" t="s">
        <v>515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45261</v>
      </c>
      <c r="E283" s="16" t="s">
        <v>514</v>
      </c>
      <c r="F283" s="16" t="s">
        <v>16</v>
      </c>
      <c r="G283" s="17">
        <v>1</v>
      </c>
      <c r="H283" s="18" t="s">
        <v>515</v>
      </c>
    </row>
    <row r="284" spans="1:8" x14ac:dyDescent="0.3">
      <c r="A284" s="14" t="s">
        <v>5</v>
      </c>
      <c r="B284" s="15">
        <v>45168</v>
      </c>
      <c r="C284" s="15">
        <v>45198</v>
      </c>
      <c r="D284" s="15">
        <v>45230</v>
      </c>
      <c r="E284" s="19" t="s">
        <v>441</v>
      </c>
      <c r="F284" s="19" t="s">
        <v>15</v>
      </c>
      <c r="G284" s="20">
        <v>53</v>
      </c>
      <c r="H284" s="21" t="s">
        <v>442</v>
      </c>
    </row>
    <row r="285" spans="1:8" x14ac:dyDescent="0.3">
      <c r="A285" s="12" t="s">
        <v>66</v>
      </c>
      <c r="B285" s="13">
        <v>45169</v>
      </c>
      <c r="C285" s="13">
        <v>45198</v>
      </c>
      <c r="D285" s="13">
        <v>45230</v>
      </c>
      <c r="E285" s="16" t="s">
        <v>443</v>
      </c>
      <c r="F285" s="16" t="s">
        <v>15</v>
      </c>
      <c r="G285" s="17">
        <v>60</v>
      </c>
      <c r="H285" s="18" t="s">
        <v>444</v>
      </c>
    </row>
    <row r="286" spans="1:8" x14ac:dyDescent="0.3">
      <c r="A286" s="14" t="s">
        <v>368</v>
      </c>
      <c r="B286" s="15">
        <v>45167</v>
      </c>
      <c r="C286" s="15">
        <v>45198</v>
      </c>
      <c r="D286" s="15">
        <v>45230</v>
      </c>
      <c r="E286" s="19" t="s">
        <v>445</v>
      </c>
      <c r="F286" s="19" t="s">
        <v>15</v>
      </c>
      <c r="G286" s="20">
        <v>29</v>
      </c>
      <c r="H286" s="21" t="s">
        <v>446</v>
      </c>
    </row>
    <row r="287" spans="1:8" x14ac:dyDescent="0.3">
      <c r="A287" s="12" t="s">
        <v>5</v>
      </c>
      <c r="B287" s="13">
        <v>45170</v>
      </c>
      <c r="C287" s="13">
        <v>45201</v>
      </c>
      <c r="D287" s="13">
        <v>45244</v>
      </c>
      <c r="E287" s="16" t="s">
        <v>447</v>
      </c>
      <c r="F287" s="16" t="s">
        <v>15</v>
      </c>
      <c r="G287" s="17">
        <v>217</v>
      </c>
      <c r="H287" s="18" t="s">
        <v>448</v>
      </c>
    </row>
    <row r="288" spans="1:8" x14ac:dyDescent="0.3">
      <c r="A288" s="14" t="s">
        <v>5</v>
      </c>
      <c r="B288" s="15">
        <v>45169</v>
      </c>
      <c r="C288" s="15">
        <v>45201</v>
      </c>
      <c r="D288" s="15">
        <v>45231</v>
      </c>
      <c r="E288" s="19" t="s">
        <v>288</v>
      </c>
      <c r="F288" s="19" t="s">
        <v>15</v>
      </c>
      <c r="G288" s="20">
        <v>3</v>
      </c>
      <c r="H288" s="21" t="s">
        <v>449</v>
      </c>
    </row>
    <row r="289" spans="1:8" x14ac:dyDescent="0.3">
      <c r="A289" s="12" t="s">
        <v>66</v>
      </c>
      <c r="B289" s="13">
        <v>45140</v>
      </c>
      <c r="C289" s="13">
        <v>45201</v>
      </c>
      <c r="D289" s="13">
        <v>45205</v>
      </c>
      <c r="E289" s="16" t="s">
        <v>450</v>
      </c>
      <c r="F289" s="16" t="s">
        <v>16</v>
      </c>
      <c r="G289" s="17">
        <v>6</v>
      </c>
      <c r="H289" s="18" t="s">
        <v>451</v>
      </c>
    </row>
    <row r="290" spans="1:8" x14ac:dyDescent="0.3">
      <c r="A290" s="14" t="s">
        <v>11</v>
      </c>
      <c r="B290" s="15">
        <v>45147</v>
      </c>
      <c r="C290" s="15">
        <v>45201</v>
      </c>
      <c r="D290" s="15">
        <v>45205</v>
      </c>
      <c r="E290" s="19" t="s">
        <v>452</v>
      </c>
      <c r="F290" s="19" t="s">
        <v>16</v>
      </c>
      <c r="G290" s="20">
        <v>59</v>
      </c>
      <c r="H290" s="21" t="s">
        <v>453</v>
      </c>
    </row>
    <row r="291" spans="1:8" x14ac:dyDescent="0.3">
      <c r="A291" s="12" t="s">
        <v>11</v>
      </c>
      <c r="B291" s="13">
        <v>45147</v>
      </c>
      <c r="C291" s="13">
        <v>45201</v>
      </c>
      <c r="D291" s="13">
        <v>45205</v>
      </c>
      <c r="E291" s="16" t="s">
        <v>452</v>
      </c>
      <c r="F291" s="16" t="s">
        <v>16</v>
      </c>
      <c r="G291" s="17">
        <v>4</v>
      </c>
      <c r="H291" s="18" t="s">
        <v>454</v>
      </c>
    </row>
    <row r="292" spans="1:8" x14ac:dyDescent="0.3">
      <c r="A292" s="14" t="s">
        <v>11</v>
      </c>
      <c r="B292" s="15">
        <v>45147</v>
      </c>
      <c r="C292" s="15">
        <v>45201</v>
      </c>
      <c r="D292" s="15">
        <v>45205</v>
      </c>
      <c r="E292" s="19" t="s">
        <v>452</v>
      </c>
      <c r="F292" s="19" t="s">
        <v>16</v>
      </c>
      <c r="G292" s="20">
        <v>3</v>
      </c>
      <c r="H292" s="21" t="s">
        <v>455</v>
      </c>
    </row>
    <row r="293" spans="1:8" x14ac:dyDescent="0.3">
      <c r="A293" s="12" t="s">
        <v>11</v>
      </c>
      <c r="B293" s="13">
        <v>45147</v>
      </c>
      <c r="C293" s="13">
        <v>45201</v>
      </c>
      <c r="D293" s="13">
        <v>45205</v>
      </c>
      <c r="E293" s="16" t="s">
        <v>452</v>
      </c>
      <c r="F293" s="16" t="s">
        <v>16</v>
      </c>
      <c r="G293" s="17">
        <v>4</v>
      </c>
      <c r="H293" s="18" t="s">
        <v>456</v>
      </c>
    </row>
    <row r="294" spans="1:8" x14ac:dyDescent="0.3">
      <c r="A294" s="14" t="s">
        <v>66</v>
      </c>
      <c r="B294" s="15">
        <v>45140</v>
      </c>
      <c r="C294" s="15">
        <v>45201</v>
      </c>
      <c r="D294" s="15">
        <v>45205</v>
      </c>
      <c r="E294" s="19" t="s">
        <v>450</v>
      </c>
      <c r="F294" s="19" t="s">
        <v>16</v>
      </c>
      <c r="G294" s="20">
        <v>18</v>
      </c>
      <c r="H294" s="21" t="s">
        <v>457</v>
      </c>
    </row>
    <row r="295" spans="1:8" x14ac:dyDescent="0.3">
      <c r="A295" s="12" t="s">
        <v>66</v>
      </c>
      <c r="B295" s="13">
        <v>45140</v>
      </c>
      <c r="C295" s="13">
        <v>45201</v>
      </c>
      <c r="D295" s="13">
        <v>45205</v>
      </c>
      <c r="E295" s="16" t="s">
        <v>450</v>
      </c>
      <c r="F295" s="16" t="s">
        <v>16</v>
      </c>
      <c r="G295" s="17">
        <v>1</v>
      </c>
      <c r="H295" s="18" t="s">
        <v>458</v>
      </c>
    </row>
    <row r="296" spans="1:8" x14ac:dyDescent="0.3">
      <c r="A296" s="14" t="s">
        <v>66</v>
      </c>
      <c r="B296" s="15">
        <v>45140</v>
      </c>
      <c r="C296" s="15">
        <v>45201</v>
      </c>
      <c r="D296" s="15">
        <v>45205</v>
      </c>
      <c r="E296" s="19" t="s">
        <v>450</v>
      </c>
      <c r="F296" s="19" t="s">
        <v>16</v>
      </c>
      <c r="G296" s="20">
        <v>7</v>
      </c>
      <c r="H296" s="21" t="s">
        <v>459</v>
      </c>
    </row>
    <row r="297" spans="1:8" x14ac:dyDescent="0.3">
      <c r="A297" s="12" t="s">
        <v>66</v>
      </c>
      <c r="B297" s="13">
        <v>45140</v>
      </c>
      <c r="C297" s="13">
        <v>45201</v>
      </c>
      <c r="D297" s="13">
        <v>45205</v>
      </c>
      <c r="E297" s="16" t="s">
        <v>450</v>
      </c>
      <c r="F297" s="16" t="s">
        <v>16</v>
      </c>
      <c r="G297" s="17">
        <v>2</v>
      </c>
      <c r="H297" s="18" t="s">
        <v>460</v>
      </c>
    </row>
    <row r="298" spans="1:8" x14ac:dyDescent="0.3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450</v>
      </c>
      <c r="F298" s="19" t="s">
        <v>16</v>
      </c>
      <c r="G298" s="20">
        <v>11</v>
      </c>
      <c r="H298" s="21" t="s">
        <v>461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450</v>
      </c>
      <c r="F299" s="16" t="s">
        <v>16</v>
      </c>
      <c r="G299" s="17">
        <v>12</v>
      </c>
      <c r="H299" s="18" t="s">
        <v>462</v>
      </c>
    </row>
    <row r="300" spans="1:8" x14ac:dyDescent="0.3">
      <c r="A300" s="14" t="s">
        <v>175</v>
      </c>
      <c r="B300" s="15">
        <v>45170</v>
      </c>
      <c r="C300" s="15">
        <v>45201</v>
      </c>
      <c r="D300" s="15">
        <v>45231</v>
      </c>
      <c r="E300" s="19" t="s">
        <v>463</v>
      </c>
      <c r="F300" s="19" t="s">
        <v>15</v>
      </c>
      <c r="G300" s="20">
        <v>292</v>
      </c>
      <c r="H300" s="21" t="s">
        <v>464</v>
      </c>
    </row>
    <row r="301" spans="1:8" x14ac:dyDescent="0.3">
      <c r="A301" s="12" t="s">
        <v>86</v>
      </c>
      <c r="B301" s="13">
        <v>45181</v>
      </c>
      <c r="C301" s="13">
        <v>45202</v>
      </c>
      <c r="D301" s="13">
        <v>45240</v>
      </c>
      <c r="E301" s="16" t="s">
        <v>465</v>
      </c>
      <c r="F301" s="16" t="s">
        <v>16</v>
      </c>
      <c r="G301" s="17">
        <v>21</v>
      </c>
      <c r="H301" s="18" t="s">
        <v>466</v>
      </c>
    </row>
    <row r="302" spans="1:8" x14ac:dyDescent="0.3">
      <c r="A302" s="14" t="s">
        <v>5</v>
      </c>
      <c r="B302" s="15">
        <v>45181</v>
      </c>
      <c r="C302" s="15">
        <v>45202</v>
      </c>
      <c r="D302" s="15">
        <v>45240</v>
      </c>
      <c r="E302" s="19" t="s">
        <v>465</v>
      </c>
      <c r="F302" s="19" t="s">
        <v>16</v>
      </c>
      <c r="G302" s="20">
        <v>8</v>
      </c>
      <c r="H302" s="21" t="s">
        <v>467</v>
      </c>
    </row>
    <row r="303" spans="1:8" x14ac:dyDescent="0.3">
      <c r="A303" s="12" t="s">
        <v>5</v>
      </c>
      <c r="B303" s="13">
        <v>45181</v>
      </c>
      <c r="C303" s="13">
        <v>45202</v>
      </c>
      <c r="D303" s="13">
        <v>45240</v>
      </c>
      <c r="E303" s="16" t="s">
        <v>468</v>
      </c>
      <c r="F303" s="16" t="s">
        <v>16</v>
      </c>
      <c r="G303" s="17">
        <v>1</v>
      </c>
      <c r="H303" s="18" t="s">
        <v>469</v>
      </c>
    </row>
    <row r="304" spans="1:8" x14ac:dyDescent="0.3">
      <c r="A304" s="14" t="s">
        <v>5</v>
      </c>
      <c r="B304" s="15">
        <v>45181</v>
      </c>
      <c r="C304" s="15">
        <v>45202</v>
      </c>
      <c r="D304" s="15">
        <v>45240</v>
      </c>
      <c r="E304" s="19" t="s">
        <v>470</v>
      </c>
      <c r="F304" s="19" t="s">
        <v>16</v>
      </c>
      <c r="G304" s="20">
        <v>8</v>
      </c>
      <c r="H304" s="21" t="s">
        <v>471</v>
      </c>
    </row>
    <row r="305" spans="1:8" x14ac:dyDescent="0.3">
      <c r="A305" s="12" t="s">
        <v>5</v>
      </c>
      <c r="B305" s="13">
        <v>45181</v>
      </c>
      <c r="C305" s="13">
        <v>45202</v>
      </c>
      <c r="D305" s="13">
        <v>45240</v>
      </c>
      <c r="E305" s="16" t="s">
        <v>472</v>
      </c>
      <c r="F305" s="16" t="s">
        <v>16</v>
      </c>
      <c r="G305" s="17">
        <v>1</v>
      </c>
      <c r="H305" s="18" t="s">
        <v>473</v>
      </c>
    </row>
    <row r="306" spans="1:8" x14ac:dyDescent="0.3">
      <c r="A306" s="14" t="s">
        <v>5</v>
      </c>
      <c r="B306" s="15">
        <v>45170</v>
      </c>
      <c r="C306" s="15">
        <v>45202</v>
      </c>
      <c r="D306" s="15">
        <v>45170</v>
      </c>
      <c r="E306" s="19" t="s">
        <v>474</v>
      </c>
      <c r="F306" s="19" t="s">
        <v>16</v>
      </c>
      <c r="G306" s="20">
        <v>1</v>
      </c>
      <c r="H306" s="21" t="s">
        <v>475</v>
      </c>
    </row>
    <row r="307" spans="1:8" x14ac:dyDescent="0.3">
      <c r="A307" s="12" t="s">
        <v>86</v>
      </c>
      <c r="B307" s="13">
        <v>45181</v>
      </c>
      <c r="C307" s="13">
        <v>45202</v>
      </c>
      <c r="D307" s="13">
        <v>45240</v>
      </c>
      <c r="E307" s="16" t="s">
        <v>476</v>
      </c>
      <c r="F307" s="16" t="s">
        <v>16</v>
      </c>
      <c r="G307" s="17">
        <v>2</v>
      </c>
      <c r="H307" s="18" t="s">
        <v>477</v>
      </c>
    </row>
    <row r="308" spans="1:8" x14ac:dyDescent="0.3">
      <c r="A308" s="14" t="s">
        <v>86</v>
      </c>
      <c r="B308" s="15">
        <v>45181</v>
      </c>
      <c r="C308" s="15">
        <v>45202</v>
      </c>
      <c r="D308" s="15">
        <v>45240</v>
      </c>
      <c r="E308" s="19" t="s">
        <v>465</v>
      </c>
      <c r="F308" s="19" t="s">
        <v>16</v>
      </c>
      <c r="G308" s="20">
        <v>1</v>
      </c>
      <c r="H308" s="21" t="s">
        <v>478</v>
      </c>
    </row>
    <row r="309" spans="1:8" x14ac:dyDescent="0.3">
      <c r="A309" s="12" t="s">
        <v>86</v>
      </c>
      <c r="B309" s="13">
        <v>45181</v>
      </c>
      <c r="C309" s="13">
        <v>45202</v>
      </c>
      <c r="D309" s="13">
        <v>45240</v>
      </c>
      <c r="E309" s="16" t="s">
        <v>479</v>
      </c>
      <c r="F309" s="16" t="s">
        <v>16</v>
      </c>
      <c r="G309" s="17">
        <v>4</v>
      </c>
      <c r="H309" s="18" t="s">
        <v>480</v>
      </c>
    </row>
    <row r="310" spans="1:8" x14ac:dyDescent="0.3">
      <c r="A310" s="14" t="s">
        <v>66</v>
      </c>
      <c r="B310" s="15">
        <v>45170</v>
      </c>
      <c r="C310" s="15">
        <v>45202</v>
      </c>
      <c r="D310" s="15">
        <v>45170</v>
      </c>
      <c r="E310" s="19" t="s">
        <v>474</v>
      </c>
      <c r="F310" s="19" t="s">
        <v>16</v>
      </c>
      <c r="G310" s="20">
        <v>57</v>
      </c>
      <c r="H310" s="21" t="s">
        <v>481</v>
      </c>
    </row>
    <row r="311" spans="1:8" x14ac:dyDescent="0.3">
      <c r="A311" s="12" t="s">
        <v>66</v>
      </c>
      <c r="B311" s="13">
        <v>45170</v>
      </c>
      <c r="C311" s="13">
        <v>45202</v>
      </c>
      <c r="D311" s="13">
        <v>45183</v>
      </c>
      <c r="E311" s="16" t="s">
        <v>474</v>
      </c>
      <c r="F311" s="16" t="s">
        <v>16</v>
      </c>
      <c r="G311" s="17">
        <v>3</v>
      </c>
      <c r="H311" s="18" t="s">
        <v>481</v>
      </c>
    </row>
    <row r="312" spans="1:8" x14ac:dyDescent="0.3">
      <c r="A312" s="14" t="s">
        <v>66</v>
      </c>
      <c r="B312" s="15">
        <v>45170</v>
      </c>
      <c r="C312" s="15">
        <v>45202</v>
      </c>
      <c r="D312" s="15">
        <v>45212</v>
      </c>
      <c r="E312" s="19" t="s">
        <v>474</v>
      </c>
      <c r="F312" s="19" t="s">
        <v>16</v>
      </c>
      <c r="G312" s="20">
        <v>12</v>
      </c>
      <c r="H312" s="21" t="s">
        <v>481</v>
      </c>
    </row>
    <row r="313" spans="1:8" x14ac:dyDescent="0.3">
      <c r="A313" s="12" t="s">
        <v>66</v>
      </c>
      <c r="B313" s="13">
        <v>45170</v>
      </c>
      <c r="C313" s="13">
        <v>45202</v>
      </c>
      <c r="D313" s="13">
        <v>45170</v>
      </c>
      <c r="E313" s="16" t="s">
        <v>474</v>
      </c>
      <c r="F313" s="16" t="s">
        <v>16</v>
      </c>
      <c r="G313" s="17">
        <v>10</v>
      </c>
      <c r="H313" s="18" t="s">
        <v>482</v>
      </c>
    </row>
    <row r="314" spans="1:8" x14ac:dyDescent="0.3">
      <c r="A314" s="14" t="s">
        <v>11</v>
      </c>
      <c r="B314" s="15">
        <v>45170</v>
      </c>
      <c r="C314" s="15">
        <v>45202</v>
      </c>
      <c r="D314" s="15">
        <v>45170</v>
      </c>
      <c r="E314" s="19" t="s">
        <v>474</v>
      </c>
      <c r="F314" s="19" t="s">
        <v>16</v>
      </c>
      <c r="G314" s="20">
        <v>1</v>
      </c>
      <c r="H314" s="21" t="s">
        <v>483</v>
      </c>
    </row>
    <row r="315" spans="1:8" x14ac:dyDescent="0.3">
      <c r="A315" s="12" t="s">
        <v>76</v>
      </c>
      <c r="B315" s="13">
        <v>45181</v>
      </c>
      <c r="C315" s="13">
        <v>45202</v>
      </c>
      <c r="D315" s="13">
        <v>45240</v>
      </c>
      <c r="E315" s="16" t="s">
        <v>465</v>
      </c>
      <c r="F315" s="16" t="s">
        <v>16</v>
      </c>
      <c r="G315" s="17">
        <v>1</v>
      </c>
      <c r="H315" s="18" t="s">
        <v>484</v>
      </c>
    </row>
    <row r="316" spans="1:8" x14ac:dyDescent="0.3">
      <c r="A316" s="14" t="s">
        <v>6</v>
      </c>
      <c r="B316" s="15">
        <v>45177</v>
      </c>
      <c r="C316" s="15">
        <v>45202</v>
      </c>
      <c r="D316" s="15">
        <v>45237</v>
      </c>
      <c r="E316" s="19" t="s">
        <v>485</v>
      </c>
      <c r="F316" s="19" t="s">
        <v>15</v>
      </c>
      <c r="G316" s="20">
        <v>27</v>
      </c>
      <c r="H316" s="21" t="s">
        <v>486</v>
      </c>
    </row>
    <row r="317" spans="1:8" x14ac:dyDescent="0.3">
      <c r="A317" s="12" t="s">
        <v>6</v>
      </c>
      <c r="B317" s="13">
        <v>45181</v>
      </c>
      <c r="C317" s="13">
        <v>45202</v>
      </c>
      <c r="D317" s="13">
        <v>45240</v>
      </c>
      <c r="E317" s="16" t="s">
        <v>465</v>
      </c>
      <c r="F317" s="16" t="s">
        <v>16</v>
      </c>
      <c r="G317" s="17">
        <v>1</v>
      </c>
      <c r="H317" s="18" t="s">
        <v>487</v>
      </c>
    </row>
    <row r="318" spans="1:8" x14ac:dyDescent="0.3">
      <c r="A318" s="14" t="s">
        <v>5</v>
      </c>
      <c r="B318" s="15">
        <v>45181</v>
      </c>
      <c r="C318" s="15">
        <v>45202</v>
      </c>
      <c r="D318" s="15">
        <v>45240</v>
      </c>
      <c r="E318" s="19" t="s">
        <v>465</v>
      </c>
      <c r="F318" s="19" t="s">
        <v>16</v>
      </c>
      <c r="G318" s="20">
        <v>1</v>
      </c>
      <c r="H318" s="21" t="s">
        <v>488</v>
      </c>
    </row>
    <row r="319" spans="1:8" x14ac:dyDescent="0.3">
      <c r="A319" s="12" t="s">
        <v>8</v>
      </c>
      <c r="B319" s="13">
        <v>45166</v>
      </c>
      <c r="C319" s="13">
        <v>45203</v>
      </c>
      <c r="D319" s="13">
        <v>45166</v>
      </c>
      <c r="E319" s="16" t="s">
        <v>489</v>
      </c>
      <c r="F319" s="16" t="s">
        <v>16</v>
      </c>
      <c r="G319" s="17">
        <v>26</v>
      </c>
      <c r="H319" s="18" t="s">
        <v>490</v>
      </c>
    </row>
    <row r="320" spans="1:8" x14ac:dyDescent="0.3">
      <c r="A320" s="14" t="s">
        <v>8</v>
      </c>
      <c r="B320" s="15">
        <v>45166</v>
      </c>
      <c r="C320" s="15">
        <v>45203</v>
      </c>
      <c r="D320" s="15">
        <v>45166</v>
      </c>
      <c r="E320" s="19" t="s">
        <v>489</v>
      </c>
      <c r="F320" s="19" t="s">
        <v>16</v>
      </c>
      <c r="G320" s="20">
        <v>1</v>
      </c>
      <c r="H320" s="21" t="s">
        <v>491</v>
      </c>
    </row>
    <row r="321" spans="1:8" x14ac:dyDescent="0.3">
      <c r="A321" s="12" t="s">
        <v>8</v>
      </c>
      <c r="B321" s="13">
        <v>45166</v>
      </c>
      <c r="C321" s="13">
        <v>45203</v>
      </c>
      <c r="D321" s="13">
        <v>45166</v>
      </c>
      <c r="E321" s="16" t="s">
        <v>489</v>
      </c>
      <c r="F321" s="16" t="s">
        <v>16</v>
      </c>
      <c r="G321" s="17">
        <v>4</v>
      </c>
      <c r="H321" s="18" t="s">
        <v>492</v>
      </c>
    </row>
    <row r="322" spans="1:8" x14ac:dyDescent="0.3">
      <c r="A322" s="14" t="s">
        <v>8</v>
      </c>
      <c r="B322" s="15">
        <v>45166</v>
      </c>
      <c r="C322" s="15">
        <v>45203</v>
      </c>
      <c r="D322" s="15">
        <v>45166</v>
      </c>
      <c r="E322" s="19" t="s">
        <v>489</v>
      </c>
      <c r="F322" s="19" t="s">
        <v>16</v>
      </c>
      <c r="G322" s="20">
        <v>1</v>
      </c>
      <c r="H322" s="21" t="s">
        <v>493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489</v>
      </c>
      <c r="F323" s="16" t="s">
        <v>16</v>
      </c>
      <c r="G323" s="17">
        <v>25</v>
      </c>
      <c r="H323" s="18" t="s">
        <v>494</v>
      </c>
    </row>
    <row r="324" spans="1:8" x14ac:dyDescent="0.3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489</v>
      </c>
      <c r="F324" s="19" t="s">
        <v>16</v>
      </c>
      <c r="G324" s="20">
        <v>2</v>
      </c>
      <c r="H324" s="21" t="s">
        <v>495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489</v>
      </c>
      <c r="F325" s="16" t="s">
        <v>16</v>
      </c>
      <c r="G325" s="17">
        <v>1</v>
      </c>
      <c r="H325" s="18" t="s">
        <v>496</v>
      </c>
    </row>
    <row r="326" spans="1:8" x14ac:dyDescent="0.3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489</v>
      </c>
      <c r="F326" s="19" t="s">
        <v>16</v>
      </c>
      <c r="G326" s="20">
        <v>1</v>
      </c>
      <c r="H326" s="21" t="s">
        <v>497</v>
      </c>
    </row>
    <row r="327" spans="1:8" x14ac:dyDescent="0.3">
      <c r="A327" s="12" t="s">
        <v>9</v>
      </c>
      <c r="B327" s="13">
        <v>45170</v>
      </c>
      <c r="C327" s="13">
        <v>45203</v>
      </c>
      <c r="D327" s="13">
        <v>45291</v>
      </c>
      <c r="E327" s="16" t="s">
        <v>498</v>
      </c>
      <c r="F327" s="16" t="s">
        <v>15</v>
      </c>
      <c r="G327" s="17">
        <v>40</v>
      </c>
      <c r="H327" s="18" t="s">
        <v>499</v>
      </c>
    </row>
    <row r="328" spans="1:8" x14ac:dyDescent="0.3">
      <c r="A328" s="14" t="s">
        <v>9</v>
      </c>
      <c r="B328" s="15">
        <v>45198</v>
      </c>
      <c r="C328" s="15">
        <v>45203</v>
      </c>
      <c r="D328" s="15">
        <v>45198</v>
      </c>
      <c r="E328" s="19" t="s">
        <v>500</v>
      </c>
      <c r="F328" s="19" t="s">
        <v>16</v>
      </c>
      <c r="G328" s="20">
        <v>259</v>
      </c>
      <c r="H328" s="21" t="s">
        <v>501</v>
      </c>
    </row>
    <row r="329" spans="1:8" x14ac:dyDescent="0.3">
      <c r="A329" s="12" t="s">
        <v>6</v>
      </c>
      <c r="B329" s="13">
        <v>45155</v>
      </c>
      <c r="C329" s="13">
        <v>45203</v>
      </c>
      <c r="D329" s="13">
        <v>45215</v>
      </c>
      <c r="E329" s="16" t="s">
        <v>502</v>
      </c>
      <c r="F329" s="16" t="s">
        <v>16</v>
      </c>
      <c r="G329" s="17">
        <v>13</v>
      </c>
      <c r="H329" s="18" t="s">
        <v>503</v>
      </c>
    </row>
    <row r="330" spans="1:8" x14ac:dyDescent="0.3">
      <c r="A330" s="14" t="s">
        <v>252</v>
      </c>
      <c r="B330" s="15">
        <v>45155</v>
      </c>
      <c r="C330" s="15">
        <v>45203</v>
      </c>
      <c r="D330" s="15">
        <v>45215</v>
      </c>
      <c r="E330" s="19" t="s">
        <v>502</v>
      </c>
      <c r="F330" s="19" t="s">
        <v>16</v>
      </c>
      <c r="G330" s="20">
        <v>98</v>
      </c>
      <c r="H330" s="21" t="s">
        <v>504</v>
      </c>
    </row>
    <row r="331" spans="1:8" x14ac:dyDescent="0.3">
      <c r="A331" s="12" t="s">
        <v>5</v>
      </c>
      <c r="B331" s="13">
        <v>45174</v>
      </c>
      <c r="C331" s="13">
        <v>45204</v>
      </c>
      <c r="D331" s="13">
        <v>45234</v>
      </c>
      <c r="E331" s="16" t="s">
        <v>516</v>
      </c>
      <c r="F331" s="16" t="s">
        <v>15</v>
      </c>
      <c r="G331" s="17">
        <v>53</v>
      </c>
      <c r="H331" s="18" t="s">
        <v>517</v>
      </c>
    </row>
    <row r="332" spans="1:8" x14ac:dyDescent="0.3">
      <c r="A332" s="14" t="s">
        <v>5</v>
      </c>
      <c r="B332" s="15">
        <v>45174</v>
      </c>
      <c r="C332" s="15">
        <v>45204</v>
      </c>
      <c r="D332" s="15">
        <v>45260</v>
      </c>
      <c r="E332" s="19" t="s">
        <v>516</v>
      </c>
      <c r="F332" s="19" t="s">
        <v>15</v>
      </c>
      <c r="G332" s="20">
        <v>4</v>
      </c>
      <c r="H332" s="21" t="s">
        <v>518</v>
      </c>
    </row>
    <row r="333" spans="1:8" x14ac:dyDescent="0.3">
      <c r="A333" s="12" t="s">
        <v>86</v>
      </c>
      <c r="B333" s="13">
        <v>45145</v>
      </c>
      <c r="C333" s="13">
        <v>45210</v>
      </c>
      <c r="D333" s="13">
        <v>45202</v>
      </c>
      <c r="E333" s="16" t="s">
        <v>519</v>
      </c>
      <c r="F333" s="16" t="s">
        <v>16</v>
      </c>
      <c r="G333" s="17">
        <v>58</v>
      </c>
      <c r="H333" s="18" t="s">
        <v>520</v>
      </c>
    </row>
    <row r="334" spans="1:8" x14ac:dyDescent="0.3">
      <c r="A334" s="14" t="s">
        <v>7</v>
      </c>
      <c r="B334" s="15">
        <v>45175</v>
      </c>
      <c r="C334" s="15">
        <v>45210</v>
      </c>
      <c r="D334" s="15">
        <v>45245</v>
      </c>
      <c r="E334" s="19" t="s">
        <v>521</v>
      </c>
      <c r="F334" s="19" t="s">
        <v>15</v>
      </c>
      <c r="G334" s="20">
        <v>74</v>
      </c>
      <c r="H334" s="21" t="s">
        <v>522</v>
      </c>
    </row>
    <row r="335" spans="1:8" x14ac:dyDescent="0.3">
      <c r="A335" s="12" t="s">
        <v>7</v>
      </c>
      <c r="B335" s="13">
        <v>45175</v>
      </c>
      <c r="C335" s="13">
        <v>45210</v>
      </c>
      <c r="D335" s="13">
        <v>45236</v>
      </c>
      <c r="E335" s="16" t="s">
        <v>523</v>
      </c>
      <c r="F335" s="16" t="s">
        <v>16</v>
      </c>
      <c r="G335" s="17">
        <v>79</v>
      </c>
      <c r="H335" s="18" t="s">
        <v>524</v>
      </c>
    </row>
    <row r="336" spans="1:8" x14ac:dyDescent="0.3">
      <c r="A336" s="14" t="s">
        <v>86</v>
      </c>
      <c r="B336" s="15">
        <v>45175</v>
      </c>
      <c r="C336" s="15">
        <v>45212</v>
      </c>
      <c r="D336" s="15">
        <v>45231</v>
      </c>
      <c r="E336" s="19" t="s">
        <v>525</v>
      </c>
      <c r="F336" s="19" t="s">
        <v>16</v>
      </c>
      <c r="G336" s="20">
        <v>7</v>
      </c>
      <c r="H336" s="21" t="s">
        <v>526</v>
      </c>
    </row>
    <row r="337" spans="1:8" x14ac:dyDescent="0.3">
      <c r="A337" s="12" t="s">
        <v>86</v>
      </c>
      <c r="B337" s="13">
        <v>45180</v>
      </c>
      <c r="C337" s="13">
        <v>45212</v>
      </c>
      <c r="D337" s="13">
        <v>45240</v>
      </c>
      <c r="E337" s="16" t="s">
        <v>98</v>
      </c>
      <c r="F337" s="16" t="s">
        <v>16</v>
      </c>
      <c r="G337" s="17">
        <v>140</v>
      </c>
      <c r="H337" s="18" t="s">
        <v>143</v>
      </c>
    </row>
    <row r="338" spans="1:8" x14ac:dyDescent="0.3">
      <c r="A338" s="14" t="s">
        <v>7</v>
      </c>
      <c r="B338" s="15">
        <v>45175</v>
      </c>
      <c r="C338" s="15">
        <v>45212</v>
      </c>
      <c r="D338" s="15">
        <v>45233</v>
      </c>
      <c r="E338" s="19" t="s">
        <v>527</v>
      </c>
      <c r="F338" s="19" t="s">
        <v>15</v>
      </c>
      <c r="G338" s="20">
        <v>38</v>
      </c>
      <c r="H338" s="21" t="s">
        <v>528</v>
      </c>
    </row>
    <row r="339" spans="1:8" x14ac:dyDescent="0.3">
      <c r="A339" s="12" t="s">
        <v>97</v>
      </c>
      <c r="B339" s="13">
        <v>45188</v>
      </c>
      <c r="C339" s="13">
        <v>45212</v>
      </c>
      <c r="D339" s="13">
        <v>45285</v>
      </c>
      <c r="E339" s="16" t="s">
        <v>98</v>
      </c>
      <c r="F339" s="16" t="s">
        <v>99</v>
      </c>
      <c r="G339" s="17">
        <v>51</v>
      </c>
      <c r="H339" s="18" t="s">
        <v>100</v>
      </c>
    </row>
    <row r="340" spans="1:8" x14ac:dyDescent="0.3">
      <c r="A340" s="14" t="s">
        <v>86</v>
      </c>
      <c r="B340" s="15">
        <v>45148</v>
      </c>
      <c r="C340" s="15">
        <v>45215</v>
      </c>
      <c r="D340" s="15">
        <v>45208</v>
      </c>
      <c r="E340" s="19" t="s">
        <v>529</v>
      </c>
      <c r="F340" s="19" t="s">
        <v>16</v>
      </c>
      <c r="G340" s="20">
        <v>1</v>
      </c>
      <c r="H340" s="21" t="s">
        <v>530</v>
      </c>
    </row>
    <row r="341" spans="1:8" x14ac:dyDescent="0.3">
      <c r="A341" s="12" t="s">
        <v>86</v>
      </c>
      <c r="B341" s="13">
        <v>45148</v>
      </c>
      <c r="C341" s="13">
        <v>45215</v>
      </c>
      <c r="D341" s="13">
        <v>45208</v>
      </c>
      <c r="E341" s="16" t="s">
        <v>529</v>
      </c>
      <c r="F341" s="16" t="s">
        <v>16</v>
      </c>
      <c r="G341" s="17">
        <v>1</v>
      </c>
      <c r="H341" s="18" t="s">
        <v>531</v>
      </c>
    </row>
    <row r="342" spans="1:8" x14ac:dyDescent="0.3">
      <c r="A342" s="14" t="s">
        <v>86</v>
      </c>
      <c r="B342" s="15">
        <v>45148</v>
      </c>
      <c r="C342" s="15">
        <v>45215</v>
      </c>
      <c r="D342" s="15">
        <v>45208</v>
      </c>
      <c r="E342" s="19" t="s">
        <v>529</v>
      </c>
      <c r="F342" s="19" t="s">
        <v>16</v>
      </c>
      <c r="G342" s="20">
        <v>5</v>
      </c>
      <c r="H342" s="21" t="s">
        <v>532</v>
      </c>
    </row>
    <row r="343" spans="1:8" x14ac:dyDescent="0.3">
      <c r="A343" s="12" t="s">
        <v>86</v>
      </c>
      <c r="B343" s="13">
        <v>45148</v>
      </c>
      <c r="C343" s="13">
        <v>45215</v>
      </c>
      <c r="D343" s="13">
        <v>45208</v>
      </c>
      <c r="E343" s="16" t="s">
        <v>529</v>
      </c>
      <c r="F343" s="16" t="s">
        <v>16</v>
      </c>
      <c r="G343" s="17">
        <v>1</v>
      </c>
      <c r="H343" s="18" t="s">
        <v>533</v>
      </c>
    </row>
    <row r="344" spans="1:8" x14ac:dyDescent="0.3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529</v>
      </c>
      <c r="F344" s="19" t="s">
        <v>16</v>
      </c>
      <c r="G344" s="20">
        <v>1</v>
      </c>
      <c r="H344" s="21" t="s">
        <v>534</v>
      </c>
    </row>
    <row r="345" spans="1:8" x14ac:dyDescent="0.3">
      <c r="A345" s="12" t="s">
        <v>66</v>
      </c>
      <c r="B345" s="13">
        <v>45148</v>
      </c>
      <c r="C345" s="13">
        <v>45215</v>
      </c>
      <c r="D345" s="13">
        <v>45208</v>
      </c>
      <c r="E345" s="16" t="s">
        <v>529</v>
      </c>
      <c r="F345" s="16" t="s">
        <v>16</v>
      </c>
      <c r="G345" s="17">
        <v>1</v>
      </c>
      <c r="H345" s="18" t="s">
        <v>535</v>
      </c>
    </row>
    <row r="346" spans="1:8" x14ac:dyDescent="0.3">
      <c r="A346" s="14" t="s">
        <v>66</v>
      </c>
      <c r="B346" s="15">
        <v>45148</v>
      </c>
      <c r="C346" s="15">
        <v>45215</v>
      </c>
      <c r="D346" s="15">
        <v>45208</v>
      </c>
      <c r="E346" s="19" t="s">
        <v>529</v>
      </c>
      <c r="F346" s="19" t="s">
        <v>16</v>
      </c>
      <c r="G346" s="20">
        <v>4</v>
      </c>
      <c r="H346" s="21" t="s">
        <v>536</v>
      </c>
    </row>
    <row r="347" spans="1:8" x14ac:dyDescent="0.3">
      <c r="A347" s="12" t="s">
        <v>14</v>
      </c>
      <c r="B347" s="13">
        <v>45148</v>
      </c>
      <c r="C347" s="13">
        <v>45215</v>
      </c>
      <c r="D347" s="13">
        <v>45208</v>
      </c>
      <c r="E347" s="16" t="s">
        <v>529</v>
      </c>
      <c r="F347" s="16" t="s">
        <v>16</v>
      </c>
      <c r="G347" s="17">
        <v>1</v>
      </c>
      <c r="H347" s="18" t="s">
        <v>537</v>
      </c>
    </row>
    <row r="348" spans="1:8" x14ac:dyDescent="0.3">
      <c r="A348" s="14" t="s">
        <v>14</v>
      </c>
      <c r="B348" s="15">
        <v>45148</v>
      </c>
      <c r="C348" s="15">
        <v>45215</v>
      </c>
      <c r="D348" s="15">
        <v>45208</v>
      </c>
      <c r="E348" s="19" t="s">
        <v>529</v>
      </c>
      <c r="F348" s="19" t="s">
        <v>16</v>
      </c>
      <c r="G348" s="20">
        <v>1</v>
      </c>
      <c r="H348" s="21" t="s">
        <v>538</v>
      </c>
    </row>
    <row r="349" spans="1:8" x14ac:dyDescent="0.3">
      <c r="A349" s="12" t="s">
        <v>14</v>
      </c>
      <c r="B349" s="13">
        <v>45148</v>
      </c>
      <c r="C349" s="13">
        <v>45215</v>
      </c>
      <c r="D349" s="13">
        <v>45208</v>
      </c>
      <c r="E349" s="16" t="s">
        <v>529</v>
      </c>
      <c r="F349" s="16" t="s">
        <v>16</v>
      </c>
      <c r="G349" s="17">
        <v>4</v>
      </c>
      <c r="H349" s="18" t="s">
        <v>539</v>
      </c>
    </row>
    <row r="350" spans="1:8" x14ac:dyDescent="0.3">
      <c r="A350" s="14" t="s">
        <v>5</v>
      </c>
      <c r="B350" s="15">
        <v>45148</v>
      </c>
      <c r="C350" s="15">
        <v>45215</v>
      </c>
      <c r="D350" s="15">
        <v>45208</v>
      </c>
      <c r="E350" s="19" t="s">
        <v>529</v>
      </c>
      <c r="F350" s="19" t="s">
        <v>16</v>
      </c>
      <c r="G350" s="20">
        <v>4</v>
      </c>
      <c r="H350" s="21" t="s">
        <v>540</v>
      </c>
    </row>
    <row r="351" spans="1:8" x14ac:dyDescent="0.3">
      <c r="A351" s="12" t="s">
        <v>12</v>
      </c>
      <c r="B351" s="13">
        <v>45148</v>
      </c>
      <c r="C351" s="13">
        <v>45215</v>
      </c>
      <c r="D351" s="13">
        <v>45208</v>
      </c>
      <c r="E351" s="16" t="s">
        <v>529</v>
      </c>
      <c r="F351" s="16" t="s">
        <v>16</v>
      </c>
      <c r="G351" s="17">
        <v>2</v>
      </c>
      <c r="H351" s="18" t="s">
        <v>541</v>
      </c>
    </row>
    <row r="352" spans="1:8" x14ac:dyDescent="0.3">
      <c r="A352" s="14" t="s">
        <v>5</v>
      </c>
      <c r="B352" s="15">
        <v>45148</v>
      </c>
      <c r="C352" s="15">
        <v>45215</v>
      </c>
      <c r="D352" s="15">
        <v>45208</v>
      </c>
      <c r="E352" s="19" t="s">
        <v>529</v>
      </c>
      <c r="F352" s="19" t="s">
        <v>16</v>
      </c>
      <c r="G352" s="20">
        <v>1</v>
      </c>
      <c r="H352" s="21" t="s">
        <v>542</v>
      </c>
    </row>
    <row r="353" spans="1:8" x14ac:dyDescent="0.3">
      <c r="A353" s="12" t="s">
        <v>5</v>
      </c>
      <c r="B353" s="13">
        <v>45148</v>
      </c>
      <c r="C353" s="13">
        <v>45215</v>
      </c>
      <c r="D353" s="13">
        <v>45208</v>
      </c>
      <c r="E353" s="16" t="s">
        <v>529</v>
      </c>
      <c r="F353" s="16" t="s">
        <v>16</v>
      </c>
      <c r="G353" s="17">
        <v>2</v>
      </c>
      <c r="H353" s="18" t="s">
        <v>543</v>
      </c>
    </row>
    <row r="354" spans="1:8" x14ac:dyDescent="0.3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529</v>
      </c>
      <c r="F354" s="19" t="s">
        <v>16</v>
      </c>
      <c r="G354" s="20">
        <v>4</v>
      </c>
      <c r="H354" s="21" t="s">
        <v>544</v>
      </c>
    </row>
    <row r="355" spans="1:8" x14ac:dyDescent="0.3">
      <c r="A355" s="12" t="s">
        <v>5</v>
      </c>
      <c r="B355" s="13">
        <v>45148</v>
      </c>
      <c r="C355" s="13">
        <v>45215</v>
      </c>
      <c r="D355" s="13">
        <v>45208</v>
      </c>
      <c r="E355" s="16" t="s">
        <v>529</v>
      </c>
      <c r="F355" s="16" t="s">
        <v>16</v>
      </c>
      <c r="G355" s="17">
        <v>2</v>
      </c>
      <c r="H355" s="18" t="s">
        <v>545</v>
      </c>
    </row>
    <row r="356" spans="1:8" x14ac:dyDescent="0.3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529</v>
      </c>
      <c r="F356" s="19" t="s">
        <v>16</v>
      </c>
      <c r="G356" s="20">
        <v>1</v>
      </c>
      <c r="H356" s="21" t="s">
        <v>546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529</v>
      </c>
      <c r="F357" s="16" t="s">
        <v>16</v>
      </c>
      <c r="G357" s="17">
        <v>3</v>
      </c>
      <c r="H357" s="18" t="s">
        <v>547</v>
      </c>
    </row>
    <row r="358" spans="1:8" x14ac:dyDescent="0.3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529</v>
      </c>
      <c r="F358" s="19" t="s">
        <v>16</v>
      </c>
      <c r="G358" s="20">
        <v>3</v>
      </c>
      <c r="H358" s="21" t="s">
        <v>548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529</v>
      </c>
      <c r="F359" s="16" t="s">
        <v>16</v>
      </c>
      <c r="G359" s="17">
        <v>3</v>
      </c>
      <c r="H359" s="18" t="s">
        <v>549</v>
      </c>
    </row>
    <row r="360" spans="1:8" x14ac:dyDescent="0.3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529</v>
      </c>
      <c r="F360" s="19" t="s">
        <v>16</v>
      </c>
      <c r="G360" s="20">
        <v>5</v>
      </c>
      <c r="H360" s="21" t="s">
        <v>550</v>
      </c>
    </row>
    <row r="361" spans="1:8" x14ac:dyDescent="0.3">
      <c r="A361" s="12" t="s">
        <v>13</v>
      </c>
      <c r="B361" s="13">
        <v>45140</v>
      </c>
      <c r="C361" s="13">
        <v>45216</v>
      </c>
      <c r="D361" s="13">
        <v>45201</v>
      </c>
      <c r="E361" s="16" t="s">
        <v>362</v>
      </c>
      <c r="F361" s="16" t="s">
        <v>16</v>
      </c>
      <c r="G361" s="17">
        <v>31</v>
      </c>
      <c r="H361" s="18" t="s">
        <v>553</v>
      </c>
    </row>
    <row r="362" spans="1:8" x14ac:dyDescent="0.3">
      <c r="A362" s="14" t="s">
        <v>13</v>
      </c>
      <c r="B362" s="15">
        <v>45140</v>
      </c>
      <c r="C362" s="15">
        <v>45216</v>
      </c>
      <c r="D362" s="15">
        <v>45201</v>
      </c>
      <c r="E362" s="19" t="s">
        <v>554</v>
      </c>
      <c r="F362" s="19" t="s">
        <v>16</v>
      </c>
      <c r="G362" s="20">
        <v>22</v>
      </c>
      <c r="H362" s="21" t="s">
        <v>555</v>
      </c>
    </row>
    <row r="363" spans="1:8" x14ac:dyDescent="0.3">
      <c r="A363" s="12" t="s">
        <v>284</v>
      </c>
      <c r="B363" s="13">
        <v>45181</v>
      </c>
      <c r="C363" s="13">
        <v>45216</v>
      </c>
      <c r="D363" s="13">
        <v>45243</v>
      </c>
      <c r="E363" s="16" t="s">
        <v>556</v>
      </c>
      <c r="F363" s="16" t="s">
        <v>15</v>
      </c>
      <c r="G363" s="17">
        <v>122</v>
      </c>
      <c r="H363" s="18" t="s">
        <v>557</v>
      </c>
    </row>
    <row r="364" spans="1:8" x14ac:dyDescent="0.3">
      <c r="A364" s="14" t="s">
        <v>284</v>
      </c>
      <c r="B364" s="15">
        <v>45181</v>
      </c>
      <c r="C364" s="15">
        <v>45216</v>
      </c>
      <c r="D364" s="15">
        <v>45243</v>
      </c>
      <c r="E364" s="19" t="s">
        <v>611</v>
      </c>
      <c r="F364" s="19" t="s">
        <v>15</v>
      </c>
      <c r="G364" s="20">
        <v>27</v>
      </c>
      <c r="H364" s="21" t="s">
        <v>558</v>
      </c>
    </row>
    <row r="365" spans="1:8" x14ac:dyDescent="0.3">
      <c r="A365" s="12" t="s">
        <v>13</v>
      </c>
      <c r="B365" s="13">
        <v>45181</v>
      </c>
      <c r="C365" s="13">
        <v>45217</v>
      </c>
      <c r="D365" s="13">
        <v>45243</v>
      </c>
      <c r="E365" s="16" t="s">
        <v>362</v>
      </c>
      <c r="F365" s="16" t="s">
        <v>16</v>
      </c>
      <c r="G365" s="17">
        <v>1</v>
      </c>
      <c r="H365" s="18" t="s">
        <v>559</v>
      </c>
    </row>
    <row r="366" spans="1:8" x14ac:dyDescent="0.3">
      <c r="A366" s="14" t="s">
        <v>5</v>
      </c>
      <c r="B366" s="15">
        <v>45180</v>
      </c>
      <c r="C366" s="15">
        <v>45217</v>
      </c>
      <c r="D366" s="15">
        <v>45230</v>
      </c>
      <c r="E366" s="19" t="s">
        <v>560</v>
      </c>
      <c r="F366" s="19" t="s">
        <v>15</v>
      </c>
      <c r="G366" s="20">
        <v>100</v>
      </c>
      <c r="H366" s="21" t="s">
        <v>561</v>
      </c>
    </row>
    <row r="367" spans="1:8" x14ac:dyDescent="0.3">
      <c r="A367" s="12" t="s">
        <v>5</v>
      </c>
      <c r="B367" s="13">
        <v>45180</v>
      </c>
      <c r="C367" s="13">
        <v>45217</v>
      </c>
      <c r="D367" s="13">
        <v>45230</v>
      </c>
      <c r="E367" s="16" t="s">
        <v>562</v>
      </c>
      <c r="F367" s="16" t="s">
        <v>15</v>
      </c>
      <c r="G367" s="17">
        <v>7</v>
      </c>
      <c r="H367" s="18" t="s">
        <v>563</v>
      </c>
    </row>
    <row r="368" spans="1:8" x14ac:dyDescent="0.3">
      <c r="A368" s="14" t="s">
        <v>5</v>
      </c>
      <c r="B368" s="15">
        <v>45180</v>
      </c>
      <c r="C368" s="15">
        <v>45217</v>
      </c>
      <c r="D368" s="15">
        <v>45230</v>
      </c>
      <c r="E368" s="19" t="s">
        <v>564</v>
      </c>
      <c r="F368" s="19" t="s">
        <v>15</v>
      </c>
      <c r="G368" s="20">
        <v>9</v>
      </c>
      <c r="H368" s="21" t="s">
        <v>565</v>
      </c>
    </row>
    <row r="369" spans="1:8" x14ac:dyDescent="0.3">
      <c r="A369" s="12" t="s">
        <v>5</v>
      </c>
      <c r="B369" s="13">
        <v>45180</v>
      </c>
      <c r="C369" s="13">
        <v>45217</v>
      </c>
      <c r="D369" s="13">
        <v>45230</v>
      </c>
      <c r="E369" s="16" t="s">
        <v>566</v>
      </c>
      <c r="F369" s="16" t="s">
        <v>15</v>
      </c>
      <c r="G369" s="17">
        <v>27</v>
      </c>
      <c r="H369" s="18" t="s">
        <v>567</v>
      </c>
    </row>
    <row r="370" spans="1:8" x14ac:dyDescent="0.3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568</v>
      </c>
      <c r="F370" s="19" t="s">
        <v>15</v>
      </c>
      <c r="G370" s="20">
        <v>44</v>
      </c>
      <c r="H370" s="21" t="s">
        <v>569</v>
      </c>
    </row>
    <row r="371" spans="1:8" x14ac:dyDescent="0.3">
      <c r="A371" s="12" t="s">
        <v>5</v>
      </c>
      <c r="B371" s="13">
        <v>45181</v>
      </c>
      <c r="C371" s="13">
        <v>45217</v>
      </c>
      <c r="D371" s="13">
        <v>45243</v>
      </c>
      <c r="E371" s="16" t="s">
        <v>362</v>
      </c>
      <c r="F371" s="16" t="s">
        <v>16</v>
      </c>
      <c r="G371" s="17">
        <v>3</v>
      </c>
      <c r="H371" s="18" t="s">
        <v>570</v>
      </c>
    </row>
    <row r="372" spans="1:8" x14ac:dyDescent="0.3">
      <c r="A372" s="14" t="s">
        <v>5</v>
      </c>
      <c r="B372" s="15">
        <v>45181</v>
      </c>
      <c r="C372" s="15">
        <v>45217</v>
      </c>
      <c r="D372" s="15">
        <v>45243</v>
      </c>
      <c r="E372" s="19" t="s">
        <v>362</v>
      </c>
      <c r="F372" s="19" t="s">
        <v>16</v>
      </c>
      <c r="G372" s="20">
        <v>24</v>
      </c>
      <c r="H372" s="21" t="s">
        <v>571</v>
      </c>
    </row>
    <row r="373" spans="1:8" x14ac:dyDescent="0.3">
      <c r="A373" s="12" t="s">
        <v>5</v>
      </c>
      <c r="B373" s="13">
        <v>45148</v>
      </c>
      <c r="C373" s="13">
        <v>45217</v>
      </c>
      <c r="D373" s="13">
        <v>45208</v>
      </c>
      <c r="E373" s="16" t="s">
        <v>529</v>
      </c>
      <c r="F373" s="16" t="s">
        <v>16</v>
      </c>
      <c r="G373" s="17">
        <v>3</v>
      </c>
      <c r="H373" s="18" t="s">
        <v>572</v>
      </c>
    </row>
    <row r="374" spans="1:8" x14ac:dyDescent="0.3">
      <c r="A374" s="14" t="s">
        <v>5</v>
      </c>
      <c r="B374" s="15">
        <v>45148</v>
      </c>
      <c r="C374" s="15">
        <v>45217</v>
      </c>
      <c r="D374" s="15">
        <v>45208</v>
      </c>
      <c r="E374" s="19" t="s">
        <v>529</v>
      </c>
      <c r="F374" s="19" t="s">
        <v>16</v>
      </c>
      <c r="G374" s="20">
        <v>3</v>
      </c>
      <c r="H374" s="21" t="s">
        <v>573</v>
      </c>
    </row>
    <row r="375" spans="1:8" x14ac:dyDescent="0.3">
      <c r="A375" s="12" t="s">
        <v>5</v>
      </c>
      <c r="B375" s="13">
        <v>45148</v>
      </c>
      <c r="C375" s="13">
        <v>45217</v>
      </c>
      <c r="D375" s="13">
        <v>45208</v>
      </c>
      <c r="E375" s="16" t="s">
        <v>529</v>
      </c>
      <c r="F375" s="16" t="s">
        <v>16</v>
      </c>
      <c r="G375" s="17">
        <v>3</v>
      </c>
      <c r="H375" s="18" t="s">
        <v>574</v>
      </c>
    </row>
    <row r="376" spans="1:8" x14ac:dyDescent="0.3">
      <c r="A376" s="14" t="s">
        <v>5</v>
      </c>
      <c r="B376" s="15">
        <v>45183</v>
      </c>
      <c r="C376" s="15">
        <v>45217</v>
      </c>
      <c r="D376" s="15">
        <v>45243</v>
      </c>
      <c r="E376" s="19" t="s">
        <v>575</v>
      </c>
      <c r="F376" s="19" t="s">
        <v>15</v>
      </c>
      <c r="G376" s="20">
        <v>257</v>
      </c>
      <c r="H376" s="21" t="s">
        <v>576</v>
      </c>
    </row>
    <row r="377" spans="1:8" x14ac:dyDescent="0.3">
      <c r="A377" s="12" t="s">
        <v>7</v>
      </c>
      <c r="B377" s="13">
        <v>45148</v>
      </c>
      <c r="C377" s="13">
        <v>45217</v>
      </c>
      <c r="D377" s="13">
        <v>45208</v>
      </c>
      <c r="E377" s="16" t="s">
        <v>529</v>
      </c>
      <c r="F377" s="16" t="s">
        <v>16</v>
      </c>
      <c r="G377" s="17">
        <v>2</v>
      </c>
      <c r="H377" s="18" t="s">
        <v>577</v>
      </c>
    </row>
    <row r="378" spans="1:8" x14ac:dyDescent="0.3">
      <c r="A378" s="14" t="s">
        <v>66</v>
      </c>
      <c r="B378" s="15">
        <v>45148</v>
      </c>
      <c r="C378" s="15">
        <v>45217</v>
      </c>
      <c r="D378" s="15">
        <v>45208</v>
      </c>
      <c r="E378" s="19" t="s">
        <v>529</v>
      </c>
      <c r="F378" s="19" t="s">
        <v>16</v>
      </c>
      <c r="G378" s="20">
        <v>8</v>
      </c>
      <c r="H378" s="21" t="s">
        <v>578</v>
      </c>
    </row>
    <row r="379" spans="1:8" x14ac:dyDescent="0.3">
      <c r="A379" s="12" t="s">
        <v>66</v>
      </c>
      <c r="B379" s="13">
        <v>45148</v>
      </c>
      <c r="C379" s="13">
        <v>45217</v>
      </c>
      <c r="D379" s="13">
        <v>45208</v>
      </c>
      <c r="E379" s="16" t="s">
        <v>529</v>
      </c>
      <c r="F379" s="16" t="s">
        <v>16</v>
      </c>
      <c r="G379" s="17">
        <v>3</v>
      </c>
      <c r="H379" s="18" t="s">
        <v>579</v>
      </c>
    </row>
    <row r="380" spans="1:8" x14ac:dyDescent="0.3">
      <c r="A380" s="14" t="s">
        <v>66</v>
      </c>
      <c r="B380" s="15">
        <v>45148</v>
      </c>
      <c r="C380" s="15">
        <v>45217</v>
      </c>
      <c r="D380" s="15">
        <v>45208</v>
      </c>
      <c r="E380" s="19" t="s">
        <v>529</v>
      </c>
      <c r="F380" s="19" t="s">
        <v>16</v>
      </c>
      <c r="G380" s="20">
        <v>4</v>
      </c>
      <c r="H380" s="21" t="s">
        <v>580</v>
      </c>
    </row>
    <row r="381" spans="1:8" x14ac:dyDescent="0.3">
      <c r="A381" s="12" t="s">
        <v>66</v>
      </c>
      <c r="B381" s="13">
        <v>45148</v>
      </c>
      <c r="C381" s="13">
        <v>45217</v>
      </c>
      <c r="D381" s="13">
        <v>45208</v>
      </c>
      <c r="E381" s="16" t="s">
        <v>529</v>
      </c>
      <c r="F381" s="16" t="s">
        <v>16</v>
      </c>
      <c r="G381" s="17">
        <v>2</v>
      </c>
      <c r="H381" s="18" t="s">
        <v>581</v>
      </c>
    </row>
    <row r="382" spans="1:8" x14ac:dyDescent="0.3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529</v>
      </c>
      <c r="F382" s="19" t="s">
        <v>16</v>
      </c>
      <c r="G382" s="20">
        <v>12</v>
      </c>
      <c r="H382" s="21" t="s">
        <v>582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529</v>
      </c>
      <c r="F383" s="16" t="s">
        <v>16</v>
      </c>
      <c r="G383" s="17">
        <v>9</v>
      </c>
      <c r="H383" s="18" t="s">
        <v>583</v>
      </c>
    </row>
    <row r="384" spans="1:8" x14ac:dyDescent="0.3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529</v>
      </c>
      <c r="F384" s="19" t="s">
        <v>16</v>
      </c>
      <c r="G384" s="20">
        <v>9</v>
      </c>
      <c r="H384" s="21" t="s">
        <v>584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529</v>
      </c>
      <c r="F385" s="16" t="s">
        <v>16</v>
      </c>
      <c r="G385" s="17">
        <v>2</v>
      </c>
      <c r="H385" s="18" t="s">
        <v>585</v>
      </c>
    </row>
    <row r="386" spans="1:8" x14ac:dyDescent="0.3">
      <c r="A386" s="14" t="s">
        <v>11</v>
      </c>
      <c r="B386" s="15">
        <v>45148</v>
      </c>
      <c r="C386" s="15">
        <v>45217</v>
      </c>
      <c r="D386" s="15">
        <v>45208</v>
      </c>
      <c r="E386" s="19" t="s">
        <v>529</v>
      </c>
      <c r="F386" s="19" t="s">
        <v>16</v>
      </c>
      <c r="G386" s="20">
        <v>2</v>
      </c>
      <c r="H386" s="21" t="s">
        <v>586</v>
      </c>
    </row>
    <row r="387" spans="1:8" x14ac:dyDescent="0.3">
      <c r="A387" s="12" t="s">
        <v>11</v>
      </c>
      <c r="B387" s="13">
        <v>45148</v>
      </c>
      <c r="C387" s="13">
        <v>45217</v>
      </c>
      <c r="D387" s="13">
        <v>45208</v>
      </c>
      <c r="E387" s="16" t="s">
        <v>529</v>
      </c>
      <c r="F387" s="16" t="s">
        <v>16</v>
      </c>
      <c r="G387" s="17">
        <v>2</v>
      </c>
      <c r="H387" s="18" t="s">
        <v>587</v>
      </c>
    </row>
    <row r="388" spans="1:8" x14ac:dyDescent="0.3">
      <c r="A388" s="14" t="s">
        <v>11</v>
      </c>
      <c r="B388" s="15">
        <v>45148</v>
      </c>
      <c r="C388" s="15">
        <v>45217</v>
      </c>
      <c r="D388" s="15">
        <v>45208</v>
      </c>
      <c r="E388" s="19" t="s">
        <v>529</v>
      </c>
      <c r="F388" s="19" t="s">
        <v>16</v>
      </c>
      <c r="G388" s="20">
        <v>2</v>
      </c>
      <c r="H388" s="21" t="s">
        <v>588</v>
      </c>
    </row>
    <row r="389" spans="1:8" x14ac:dyDescent="0.3">
      <c r="A389" s="12" t="s">
        <v>11</v>
      </c>
      <c r="B389" s="13">
        <v>45148</v>
      </c>
      <c r="C389" s="13">
        <v>45217</v>
      </c>
      <c r="D389" s="13">
        <v>45208</v>
      </c>
      <c r="E389" s="16" t="s">
        <v>529</v>
      </c>
      <c r="F389" s="16" t="s">
        <v>16</v>
      </c>
      <c r="G389" s="17">
        <v>3</v>
      </c>
      <c r="H389" s="18" t="s">
        <v>589</v>
      </c>
    </row>
    <row r="390" spans="1:8" x14ac:dyDescent="0.3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529</v>
      </c>
      <c r="F390" s="19" t="s">
        <v>16</v>
      </c>
      <c r="G390" s="20">
        <v>1</v>
      </c>
      <c r="H390" s="21" t="s">
        <v>590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529</v>
      </c>
      <c r="F391" s="16" t="s">
        <v>16</v>
      </c>
      <c r="G391" s="17">
        <v>2</v>
      </c>
      <c r="H391" s="18" t="s">
        <v>591</v>
      </c>
    </row>
    <row r="392" spans="1:8" x14ac:dyDescent="0.3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529</v>
      </c>
      <c r="F392" s="19" t="s">
        <v>16</v>
      </c>
      <c r="G392" s="20">
        <v>1</v>
      </c>
      <c r="H392" s="21" t="s">
        <v>592</v>
      </c>
    </row>
    <row r="393" spans="1:8" x14ac:dyDescent="0.3">
      <c r="A393" s="12" t="s">
        <v>9</v>
      </c>
      <c r="B393" s="13">
        <v>45148</v>
      </c>
      <c r="C393" s="13">
        <v>45217</v>
      </c>
      <c r="D393" s="13">
        <v>45208</v>
      </c>
      <c r="E393" s="16" t="s">
        <v>529</v>
      </c>
      <c r="F393" s="16" t="s">
        <v>16</v>
      </c>
      <c r="G393" s="17">
        <v>3</v>
      </c>
      <c r="H393" s="18" t="s">
        <v>593</v>
      </c>
    </row>
    <row r="394" spans="1:8" x14ac:dyDescent="0.3">
      <c r="A394" s="14" t="s">
        <v>76</v>
      </c>
      <c r="B394" s="15">
        <v>45180</v>
      </c>
      <c r="C394" s="15">
        <v>45217</v>
      </c>
      <c r="D394" s="15">
        <v>45230</v>
      </c>
      <c r="E394" s="19" t="s">
        <v>594</v>
      </c>
      <c r="F394" s="19" t="s">
        <v>15</v>
      </c>
      <c r="G394" s="20">
        <v>61</v>
      </c>
      <c r="H394" s="21" t="s">
        <v>595</v>
      </c>
    </row>
    <row r="395" spans="1:8" x14ac:dyDescent="0.3">
      <c r="A395" s="12" t="s">
        <v>76</v>
      </c>
      <c r="B395" s="13">
        <v>45148</v>
      </c>
      <c r="C395" s="13">
        <v>45217</v>
      </c>
      <c r="D395" s="13">
        <v>45208</v>
      </c>
      <c r="E395" s="16" t="s">
        <v>529</v>
      </c>
      <c r="F395" s="16" t="s">
        <v>16</v>
      </c>
      <c r="G395" s="17">
        <v>5</v>
      </c>
      <c r="H395" s="18" t="s">
        <v>596</v>
      </c>
    </row>
    <row r="396" spans="1:8" x14ac:dyDescent="0.3">
      <c r="A396" s="14" t="s">
        <v>76</v>
      </c>
      <c r="B396" s="15">
        <v>45181</v>
      </c>
      <c r="C396" s="15">
        <v>45217</v>
      </c>
      <c r="D396" s="15">
        <v>45243</v>
      </c>
      <c r="E396" s="19" t="s">
        <v>362</v>
      </c>
      <c r="F396" s="19" t="s">
        <v>15</v>
      </c>
      <c r="G396" s="20">
        <v>39</v>
      </c>
      <c r="H396" s="21" t="s">
        <v>597</v>
      </c>
    </row>
    <row r="397" spans="1:8" x14ac:dyDescent="0.3">
      <c r="A397" s="12" t="s">
        <v>6</v>
      </c>
      <c r="B397" s="13">
        <v>45148</v>
      </c>
      <c r="C397" s="13">
        <v>45217</v>
      </c>
      <c r="D397" s="13">
        <v>45208</v>
      </c>
      <c r="E397" s="16" t="s">
        <v>529</v>
      </c>
      <c r="F397" s="16" t="s">
        <v>16</v>
      </c>
      <c r="G397" s="17">
        <v>11</v>
      </c>
      <c r="H397" s="18" t="s">
        <v>598</v>
      </c>
    </row>
    <row r="398" spans="1:8" x14ac:dyDescent="0.3">
      <c r="A398" s="14" t="s">
        <v>52</v>
      </c>
      <c r="B398" s="15">
        <v>45148</v>
      </c>
      <c r="C398" s="15">
        <v>45217</v>
      </c>
      <c r="D398" s="15">
        <v>45208</v>
      </c>
      <c r="E398" s="19" t="s">
        <v>529</v>
      </c>
      <c r="F398" s="19" t="s">
        <v>16</v>
      </c>
      <c r="G398" s="20">
        <v>6</v>
      </c>
      <c r="H398" s="21" t="s">
        <v>599</v>
      </c>
    </row>
    <row r="399" spans="1:8" x14ac:dyDescent="0.3">
      <c r="A399" s="12" t="s">
        <v>52</v>
      </c>
      <c r="B399" s="13">
        <v>45176</v>
      </c>
      <c r="C399" s="13">
        <v>45217</v>
      </c>
      <c r="D399" s="13">
        <v>45237</v>
      </c>
      <c r="E399" s="16" t="s">
        <v>600</v>
      </c>
      <c r="F399" s="16" t="s">
        <v>16</v>
      </c>
      <c r="G399" s="17">
        <v>95</v>
      </c>
      <c r="H399" s="18" t="s">
        <v>601</v>
      </c>
    </row>
    <row r="400" spans="1:8" x14ac:dyDescent="0.3">
      <c r="A400" s="14" t="s">
        <v>97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16</v>
      </c>
      <c r="G400" s="20">
        <v>31</v>
      </c>
      <c r="H400" s="21" t="s">
        <v>602</v>
      </c>
    </row>
    <row r="401" spans="1:8" x14ac:dyDescent="0.3">
      <c r="A401" s="12" t="s">
        <v>7</v>
      </c>
      <c r="B401" s="13">
        <v>45148</v>
      </c>
      <c r="C401" s="13">
        <v>45217</v>
      </c>
      <c r="D401" s="13">
        <v>45208</v>
      </c>
      <c r="E401" s="16" t="s">
        <v>529</v>
      </c>
      <c r="F401" s="16" t="s">
        <v>16</v>
      </c>
      <c r="G401" s="17">
        <v>18</v>
      </c>
      <c r="H401" s="18" t="s">
        <v>603</v>
      </c>
    </row>
    <row r="402" spans="1:8" x14ac:dyDescent="0.3">
      <c r="A402" s="14" t="s">
        <v>66</v>
      </c>
      <c r="B402" s="15">
        <v>45148</v>
      </c>
      <c r="C402" s="15">
        <v>45217</v>
      </c>
      <c r="D402" s="15">
        <v>45208</v>
      </c>
      <c r="E402" s="19" t="s">
        <v>529</v>
      </c>
      <c r="F402" s="19" t="s">
        <v>16</v>
      </c>
      <c r="G402" s="20">
        <v>2</v>
      </c>
      <c r="H402" s="21" t="s">
        <v>604</v>
      </c>
    </row>
    <row r="403" spans="1:8" x14ac:dyDescent="0.3">
      <c r="A403" s="12" t="s">
        <v>5</v>
      </c>
      <c r="B403" s="13">
        <v>45148</v>
      </c>
      <c r="C403" s="13">
        <v>45217</v>
      </c>
      <c r="D403" s="13">
        <v>45208</v>
      </c>
      <c r="E403" s="16" t="s">
        <v>529</v>
      </c>
      <c r="F403" s="16" t="s">
        <v>16</v>
      </c>
      <c r="G403" s="17">
        <v>3</v>
      </c>
      <c r="H403" s="18" t="s">
        <v>605</v>
      </c>
    </row>
    <row r="404" spans="1:8" x14ac:dyDescent="0.3">
      <c r="A404" s="14" t="s">
        <v>212</v>
      </c>
      <c r="B404" s="15">
        <v>45148</v>
      </c>
      <c r="C404" s="15">
        <v>45217</v>
      </c>
      <c r="D404" s="15">
        <v>45208</v>
      </c>
      <c r="E404" s="19" t="s">
        <v>529</v>
      </c>
      <c r="F404" s="19" t="s">
        <v>16</v>
      </c>
      <c r="G404" s="20">
        <v>12</v>
      </c>
      <c r="H404" s="21" t="s">
        <v>606</v>
      </c>
    </row>
    <row r="405" spans="1:8" x14ac:dyDescent="0.3">
      <c r="A405" s="12" t="s">
        <v>5</v>
      </c>
      <c r="B405" s="13">
        <v>45148</v>
      </c>
      <c r="C405" s="13">
        <v>45217</v>
      </c>
      <c r="D405" s="13">
        <v>45208</v>
      </c>
      <c r="E405" s="16" t="s">
        <v>529</v>
      </c>
      <c r="F405" s="16" t="s">
        <v>16</v>
      </c>
      <c r="G405" s="17">
        <v>1</v>
      </c>
      <c r="H405" s="18" t="s">
        <v>607</v>
      </c>
    </row>
    <row r="406" spans="1:8" x14ac:dyDescent="0.3">
      <c r="A406" s="14" t="s">
        <v>282</v>
      </c>
      <c r="B406" s="15">
        <v>45148</v>
      </c>
      <c r="C406" s="15">
        <v>45217</v>
      </c>
      <c r="D406" s="15">
        <v>45208</v>
      </c>
      <c r="E406" s="19" t="s">
        <v>529</v>
      </c>
      <c r="F406" s="19" t="s">
        <v>16</v>
      </c>
      <c r="G406" s="20">
        <v>10</v>
      </c>
      <c r="H406" s="21" t="s">
        <v>608</v>
      </c>
    </row>
    <row r="407" spans="1:8" x14ac:dyDescent="0.3">
      <c r="A407" s="12" t="s">
        <v>302</v>
      </c>
      <c r="B407" s="13">
        <v>45148</v>
      </c>
      <c r="C407" s="13">
        <v>45217</v>
      </c>
      <c r="D407" s="13">
        <v>45208</v>
      </c>
      <c r="E407" s="16" t="s">
        <v>529</v>
      </c>
      <c r="F407" s="16" t="s">
        <v>16</v>
      </c>
      <c r="G407" s="17">
        <v>2</v>
      </c>
      <c r="H407" s="18" t="s">
        <v>609</v>
      </c>
    </row>
    <row r="408" spans="1:8" x14ac:dyDescent="0.3">
      <c r="A408" s="14" t="s">
        <v>302</v>
      </c>
      <c r="B408" s="15">
        <v>45148</v>
      </c>
      <c r="C408" s="15">
        <v>45217</v>
      </c>
      <c r="D408" s="15">
        <v>45208</v>
      </c>
      <c r="E408" s="19" t="s">
        <v>529</v>
      </c>
      <c r="F408" s="19" t="s">
        <v>16</v>
      </c>
      <c r="G408" s="20">
        <v>3</v>
      </c>
      <c r="H408" s="21" t="s">
        <v>610</v>
      </c>
    </row>
    <row r="409" spans="1:8" x14ac:dyDescent="0.3">
      <c r="A409" s="12" t="s">
        <v>7</v>
      </c>
      <c r="B409" s="13">
        <v>45183</v>
      </c>
      <c r="C409" s="13">
        <v>45218</v>
      </c>
      <c r="D409" s="13">
        <v>45244</v>
      </c>
      <c r="E409" s="16" t="s">
        <v>612</v>
      </c>
      <c r="F409" s="16" t="s">
        <v>15</v>
      </c>
      <c r="G409" s="17">
        <v>40</v>
      </c>
      <c r="H409" s="18" t="s">
        <v>613</v>
      </c>
    </row>
    <row r="410" spans="1:8" x14ac:dyDescent="0.3">
      <c r="A410" s="14" t="s">
        <v>66</v>
      </c>
      <c r="B410" s="15">
        <v>45183</v>
      </c>
      <c r="C410" s="15">
        <v>45218</v>
      </c>
      <c r="D410" s="15">
        <v>45243</v>
      </c>
      <c r="E410" s="19" t="s">
        <v>614</v>
      </c>
      <c r="F410" s="19" t="s">
        <v>16</v>
      </c>
      <c r="G410" s="20">
        <v>70</v>
      </c>
      <c r="H410" s="21" t="s">
        <v>615</v>
      </c>
    </row>
    <row r="411" spans="1:8" x14ac:dyDescent="0.3">
      <c r="A411" s="12" t="s">
        <v>11</v>
      </c>
      <c r="B411" s="13">
        <v>45183</v>
      </c>
      <c r="C411" s="13">
        <v>45218</v>
      </c>
      <c r="D411" s="13">
        <v>45252</v>
      </c>
      <c r="E411" s="16" t="s">
        <v>616</v>
      </c>
      <c r="F411" s="16" t="s">
        <v>16</v>
      </c>
      <c r="G411" s="17">
        <v>64</v>
      </c>
      <c r="H411" s="18" t="s">
        <v>617</v>
      </c>
    </row>
    <row r="412" spans="1:8" x14ac:dyDescent="0.3">
      <c r="A412" s="14" t="s">
        <v>52</v>
      </c>
      <c r="B412" s="15">
        <v>45183</v>
      </c>
      <c r="C412" s="15">
        <v>45218</v>
      </c>
      <c r="D412" s="15">
        <v>45184</v>
      </c>
      <c r="E412" s="19" t="s">
        <v>618</v>
      </c>
      <c r="F412" s="19" t="s">
        <v>16</v>
      </c>
      <c r="G412" s="20">
        <v>99</v>
      </c>
      <c r="H412" s="21" t="s">
        <v>619</v>
      </c>
    </row>
    <row r="413" spans="1:8" x14ac:dyDescent="0.3">
      <c r="A413" s="12" t="s">
        <v>66</v>
      </c>
      <c r="B413" s="13">
        <v>45183</v>
      </c>
      <c r="C413" s="13">
        <v>45219</v>
      </c>
      <c r="D413" s="13">
        <v>45243</v>
      </c>
      <c r="E413" s="16" t="s">
        <v>620</v>
      </c>
      <c r="F413" s="16" t="s">
        <v>16</v>
      </c>
      <c r="G413" s="17">
        <v>68</v>
      </c>
      <c r="H413" s="18" t="s">
        <v>621</v>
      </c>
    </row>
    <row r="414" spans="1:8" x14ac:dyDescent="0.3">
      <c r="A414" s="14" t="s">
        <v>5</v>
      </c>
      <c r="B414" s="15">
        <v>45184</v>
      </c>
      <c r="C414" s="15">
        <v>45219</v>
      </c>
      <c r="D414" s="15">
        <v>45245</v>
      </c>
      <c r="E414" s="19" t="s">
        <v>622</v>
      </c>
      <c r="F414" s="19" t="s">
        <v>15</v>
      </c>
      <c r="G414" s="20">
        <v>405</v>
      </c>
      <c r="H414" s="21" t="s">
        <v>623</v>
      </c>
    </row>
    <row r="415" spans="1:8" x14ac:dyDescent="0.3">
      <c r="A415" s="12" t="s">
        <v>5</v>
      </c>
      <c r="B415" s="13">
        <v>45184</v>
      </c>
      <c r="C415" s="13">
        <v>45219</v>
      </c>
      <c r="D415" s="13">
        <v>45245</v>
      </c>
      <c r="E415" s="16" t="s">
        <v>624</v>
      </c>
      <c r="F415" s="16" t="s">
        <v>16</v>
      </c>
      <c r="G415" s="17">
        <v>111</v>
      </c>
      <c r="H415" s="18" t="s">
        <v>625</v>
      </c>
    </row>
    <row r="416" spans="1:8" x14ac:dyDescent="0.3">
      <c r="A416" s="14" t="s">
        <v>5</v>
      </c>
      <c r="B416" s="15">
        <v>45188</v>
      </c>
      <c r="C416" s="15">
        <v>45219</v>
      </c>
      <c r="D416" s="15">
        <v>45250</v>
      </c>
      <c r="E416" s="19" t="s">
        <v>626</v>
      </c>
      <c r="F416" s="19" t="s">
        <v>15</v>
      </c>
      <c r="G416" s="20">
        <v>283</v>
      </c>
      <c r="H416" s="21" t="s">
        <v>627</v>
      </c>
    </row>
    <row r="417" spans="1:8" x14ac:dyDescent="0.3">
      <c r="A417" s="12" t="s">
        <v>76</v>
      </c>
      <c r="B417" s="13">
        <v>45183</v>
      </c>
      <c r="C417" s="13">
        <v>45219</v>
      </c>
      <c r="D417" s="13">
        <v>45272</v>
      </c>
      <c r="E417" s="16" t="s">
        <v>628</v>
      </c>
      <c r="F417" s="16" t="s">
        <v>15</v>
      </c>
      <c r="G417" s="17">
        <v>7</v>
      </c>
      <c r="H417" s="18" t="s">
        <v>629</v>
      </c>
    </row>
    <row r="418" spans="1:8" x14ac:dyDescent="0.3">
      <c r="A418" s="14" t="s">
        <v>86</v>
      </c>
      <c r="B418" s="15">
        <v>45185</v>
      </c>
      <c r="C418" s="15">
        <v>45222</v>
      </c>
      <c r="D418" s="15">
        <v>45185</v>
      </c>
      <c r="E418" s="19" t="s">
        <v>630</v>
      </c>
      <c r="F418" s="19" t="s">
        <v>16</v>
      </c>
      <c r="G418" s="20">
        <v>34</v>
      </c>
      <c r="H418" s="21" t="s">
        <v>631</v>
      </c>
    </row>
    <row r="419" spans="1:8" x14ac:dyDescent="0.3">
      <c r="A419" s="12" t="s">
        <v>86</v>
      </c>
      <c r="B419" s="13">
        <v>45185</v>
      </c>
      <c r="C419" s="13">
        <v>45222</v>
      </c>
      <c r="D419" s="13">
        <v>45185</v>
      </c>
      <c r="E419" s="16" t="s">
        <v>630</v>
      </c>
      <c r="F419" s="16" t="s">
        <v>16</v>
      </c>
      <c r="G419" s="17">
        <v>1</v>
      </c>
      <c r="H419" s="18" t="s">
        <v>632</v>
      </c>
    </row>
    <row r="420" spans="1:8" x14ac:dyDescent="0.3">
      <c r="A420" s="14" t="s">
        <v>5</v>
      </c>
      <c r="B420" s="15">
        <v>45182</v>
      </c>
      <c r="C420" s="15">
        <v>45222</v>
      </c>
      <c r="D420" s="15">
        <v>45245</v>
      </c>
      <c r="E420" s="19" t="s">
        <v>633</v>
      </c>
      <c r="F420" s="19" t="s">
        <v>16</v>
      </c>
      <c r="G420" s="20">
        <v>34</v>
      </c>
      <c r="H420" s="21" t="s">
        <v>634</v>
      </c>
    </row>
    <row r="421" spans="1:8" x14ac:dyDescent="0.3">
      <c r="A421" s="12" t="s">
        <v>5</v>
      </c>
      <c r="B421" s="13">
        <v>45182</v>
      </c>
      <c r="C421" s="13">
        <v>45222</v>
      </c>
      <c r="D421" s="13">
        <v>45245</v>
      </c>
      <c r="E421" s="16" t="s">
        <v>633</v>
      </c>
      <c r="F421" s="16" t="s">
        <v>16</v>
      </c>
      <c r="G421" s="17">
        <v>35</v>
      </c>
      <c r="H421" s="18" t="s">
        <v>635</v>
      </c>
    </row>
    <row r="422" spans="1:8" x14ac:dyDescent="0.3">
      <c r="A422" s="14" t="s">
        <v>5</v>
      </c>
      <c r="B422" s="15">
        <v>45182</v>
      </c>
      <c r="C422" s="15">
        <v>45222</v>
      </c>
      <c r="D422" s="15">
        <v>45245</v>
      </c>
      <c r="E422" s="19" t="s">
        <v>633</v>
      </c>
      <c r="F422" s="19" t="s">
        <v>16</v>
      </c>
      <c r="G422" s="20">
        <v>2</v>
      </c>
      <c r="H422" s="21" t="s">
        <v>636</v>
      </c>
    </row>
    <row r="423" spans="1:8" x14ac:dyDescent="0.3">
      <c r="A423" s="12" t="s">
        <v>5</v>
      </c>
      <c r="B423" s="13">
        <v>45188</v>
      </c>
      <c r="C423" s="13">
        <v>45222</v>
      </c>
      <c r="D423" s="13">
        <v>45188</v>
      </c>
      <c r="E423" s="16" t="s">
        <v>637</v>
      </c>
      <c r="F423" s="16" t="s">
        <v>15</v>
      </c>
      <c r="G423" s="17">
        <v>203</v>
      </c>
      <c r="H423" s="18" t="s">
        <v>638</v>
      </c>
    </row>
    <row r="424" spans="1:8" x14ac:dyDescent="0.3">
      <c r="A424" s="14" t="s">
        <v>5</v>
      </c>
      <c r="B424" s="15">
        <v>45188</v>
      </c>
      <c r="C424" s="15">
        <v>45222</v>
      </c>
      <c r="D424" s="15">
        <v>45188</v>
      </c>
      <c r="E424" s="19" t="s">
        <v>637</v>
      </c>
      <c r="F424" s="19" t="s">
        <v>15</v>
      </c>
      <c r="G424" s="20">
        <v>22</v>
      </c>
      <c r="H424" s="21" t="s">
        <v>639</v>
      </c>
    </row>
    <row r="425" spans="1:8" x14ac:dyDescent="0.3">
      <c r="A425" s="12" t="s">
        <v>7</v>
      </c>
      <c r="B425" s="13">
        <v>45185</v>
      </c>
      <c r="C425" s="13">
        <v>45222</v>
      </c>
      <c r="D425" s="13">
        <v>45185</v>
      </c>
      <c r="E425" s="16" t="s">
        <v>630</v>
      </c>
      <c r="F425" s="16" t="s">
        <v>16</v>
      </c>
      <c r="G425" s="17">
        <v>12</v>
      </c>
      <c r="H425" s="18" t="s">
        <v>640</v>
      </c>
    </row>
    <row r="426" spans="1:8" x14ac:dyDescent="0.3">
      <c r="A426" s="14" t="s">
        <v>6</v>
      </c>
      <c r="B426" s="15">
        <v>45187</v>
      </c>
      <c r="C426" s="15">
        <v>45222</v>
      </c>
      <c r="D426" s="15">
        <v>45291</v>
      </c>
      <c r="E426" s="19" t="s">
        <v>641</v>
      </c>
      <c r="F426" s="19" t="s">
        <v>16</v>
      </c>
      <c r="G426" s="20">
        <v>15</v>
      </c>
      <c r="H426" s="21" t="s">
        <v>642</v>
      </c>
    </row>
    <row r="427" spans="1:8" x14ac:dyDescent="0.3">
      <c r="A427" s="12" t="s">
        <v>6</v>
      </c>
      <c r="B427" s="13">
        <v>45187</v>
      </c>
      <c r="C427" s="13">
        <v>45222</v>
      </c>
      <c r="D427" s="13">
        <v>45291</v>
      </c>
      <c r="E427" s="16" t="s">
        <v>641</v>
      </c>
      <c r="F427" s="16" t="s">
        <v>16</v>
      </c>
      <c r="G427" s="17">
        <v>1</v>
      </c>
      <c r="H427" s="18" t="s">
        <v>643</v>
      </c>
    </row>
    <row r="428" spans="1:8" x14ac:dyDescent="0.3">
      <c r="A428" s="14" t="s">
        <v>86</v>
      </c>
      <c r="B428" s="15">
        <v>45190</v>
      </c>
      <c r="C428" s="15">
        <v>45223</v>
      </c>
      <c r="D428" s="15">
        <v>45283</v>
      </c>
      <c r="E428" s="19" t="s">
        <v>98</v>
      </c>
      <c r="F428" s="19" t="s">
        <v>17</v>
      </c>
      <c r="G428" s="20">
        <v>138</v>
      </c>
      <c r="H428" s="21" t="s">
        <v>143</v>
      </c>
    </row>
    <row r="429" spans="1:8" x14ac:dyDescent="0.3">
      <c r="A429" s="12" t="s">
        <v>14</v>
      </c>
      <c r="B429" s="13">
        <v>45190</v>
      </c>
      <c r="C429" s="13">
        <v>45223</v>
      </c>
      <c r="D429" s="13">
        <v>45323</v>
      </c>
      <c r="E429" s="16" t="s">
        <v>288</v>
      </c>
      <c r="F429" s="16" t="s">
        <v>15</v>
      </c>
      <c r="G429" s="17">
        <v>6</v>
      </c>
      <c r="H429" s="18" t="s">
        <v>644</v>
      </c>
    </row>
    <row r="430" spans="1:8" x14ac:dyDescent="0.3">
      <c r="A430" s="14" t="s">
        <v>8</v>
      </c>
      <c r="B430" s="15">
        <v>45189</v>
      </c>
      <c r="C430" s="15">
        <v>45223</v>
      </c>
      <c r="D430" s="15">
        <v>45249</v>
      </c>
      <c r="E430" s="19" t="s">
        <v>645</v>
      </c>
      <c r="F430" s="19" t="s">
        <v>17</v>
      </c>
      <c r="G430" s="20">
        <v>1015</v>
      </c>
      <c r="H430" s="21" t="s">
        <v>646</v>
      </c>
    </row>
    <row r="431" spans="1:8" x14ac:dyDescent="0.3">
      <c r="A431" s="12" t="s">
        <v>8</v>
      </c>
      <c r="B431" s="13">
        <v>45189</v>
      </c>
      <c r="C431" s="13">
        <v>45223</v>
      </c>
      <c r="D431" s="13">
        <v>45275</v>
      </c>
      <c r="E431" s="16" t="s">
        <v>645</v>
      </c>
      <c r="F431" s="16" t="s">
        <v>17</v>
      </c>
      <c r="G431" s="17">
        <v>1015</v>
      </c>
      <c r="H431" s="18" t="s">
        <v>647</v>
      </c>
    </row>
    <row r="432" spans="1:8" x14ac:dyDescent="0.3">
      <c r="A432" s="14" t="s">
        <v>66</v>
      </c>
      <c r="B432" s="15">
        <v>45190</v>
      </c>
      <c r="C432" s="15">
        <v>45223</v>
      </c>
      <c r="D432" s="15">
        <v>45285</v>
      </c>
      <c r="E432" s="19" t="s">
        <v>648</v>
      </c>
      <c r="F432" s="19" t="s">
        <v>17</v>
      </c>
      <c r="G432" s="20">
        <v>69</v>
      </c>
      <c r="H432" s="21" t="s">
        <v>649</v>
      </c>
    </row>
    <row r="433" spans="1:8" x14ac:dyDescent="0.3">
      <c r="A433" s="12" t="s">
        <v>7</v>
      </c>
      <c r="B433" s="13">
        <v>45190</v>
      </c>
      <c r="C433" s="13">
        <v>45223</v>
      </c>
      <c r="D433" s="13">
        <v>45250</v>
      </c>
      <c r="E433" s="16" t="s">
        <v>650</v>
      </c>
      <c r="F433" s="16" t="s">
        <v>16</v>
      </c>
      <c r="G433" s="17">
        <v>135</v>
      </c>
      <c r="H433" s="18" t="s">
        <v>651</v>
      </c>
    </row>
    <row r="434" spans="1:8" x14ac:dyDescent="0.3">
      <c r="A434" s="14" t="s">
        <v>175</v>
      </c>
      <c r="B434" s="15">
        <v>45189</v>
      </c>
      <c r="C434" s="15">
        <v>45223</v>
      </c>
      <c r="D434" s="15">
        <v>45250</v>
      </c>
      <c r="E434" s="19" t="s">
        <v>652</v>
      </c>
      <c r="F434" s="19" t="s">
        <v>17</v>
      </c>
      <c r="G434" s="20">
        <v>306</v>
      </c>
      <c r="H434" s="21" t="s">
        <v>653</v>
      </c>
    </row>
    <row r="435" spans="1:8" x14ac:dyDescent="0.3">
      <c r="A435" s="12" t="s">
        <v>175</v>
      </c>
      <c r="B435" s="13">
        <v>45189</v>
      </c>
      <c r="C435" s="13">
        <v>45223</v>
      </c>
      <c r="D435" s="13">
        <v>45271</v>
      </c>
      <c r="E435" s="16" t="s">
        <v>645</v>
      </c>
      <c r="F435" s="16" t="s">
        <v>17</v>
      </c>
      <c r="G435" s="17">
        <v>306</v>
      </c>
      <c r="H435" s="18" t="s">
        <v>653</v>
      </c>
    </row>
    <row r="436" spans="1:8" x14ac:dyDescent="0.3">
      <c r="A436" s="14" t="s">
        <v>14</v>
      </c>
      <c r="B436" s="15">
        <v>45188</v>
      </c>
      <c r="C436" s="15">
        <v>45224</v>
      </c>
      <c r="D436" s="15">
        <v>45268</v>
      </c>
      <c r="E436" s="19" t="s">
        <v>654</v>
      </c>
      <c r="F436" s="19" t="s">
        <v>16</v>
      </c>
      <c r="G436" s="20">
        <v>200</v>
      </c>
      <c r="H436" s="21" t="s">
        <v>226</v>
      </c>
    </row>
    <row r="437" spans="1:8" x14ac:dyDescent="0.3">
      <c r="A437" s="12" t="s">
        <v>76</v>
      </c>
      <c r="B437" s="13">
        <v>45189</v>
      </c>
      <c r="C437" s="13">
        <v>45224</v>
      </c>
      <c r="D437" s="13">
        <v>45250</v>
      </c>
      <c r="E437" s="16" t="s">
        <v>655</v>
      </c>
      <c r="F437" s="16" t="s">
        <v>15</v>
      </c>
      <c r="G437" s="17">
        <v>15</v>
      </c>
      <c r="H437" s="18" t="s">
        <v>656</v>
      </c>
    </row>
    <row r="438" spans="1:8" x14ac:dyDescent="0.3">
      <c r="A438" s="14" t="s">
        <v>52</v>
      </c>
      <c r="B438" s="15">
        <v>45188</v>
      </c>
      <c r="C438" s="15">
        <v>45224</v>
      </c>
      <c r="D438" s="15">
        <v>45268</v>
      </c>
      <c r="E438" s="19" t="s">
        <v>654</v>
      </c>
      <c r="F438" s="19" t="s">
        <v>16</v>
      </c>
      <c r="G438" s="20">
        <v>28</v>
      </c>
      <c r="H438" s="21" t="s">
        <v>229</v>
      </c>
    </row>
    <row r="439" spans="1:8" x14ac:dyDescent="0.3">
      <c r="A439" s="12" t="s">
        <v>7</v>
      </c>
      <c r="B439" s="13">
        <v>45190</v>
      </c>
      <c r="C439" s="13">
        <v>45224</v>
      </c>
      <c r="D439" s="13">
        <v>45285</v>
      </c>
      <c r="E439" s="16" t="s">
        <v>98</v>
      </c>
      <c r="F439" s="16" t="s">
        <v>99</v>
      </c>
      <c r="G439" s="17">
        <v>550</v>
      </c>
      <c r="H439" s="18" t="s">
        <v>657</v>
      </c>
    </row>
    <row r="440" spans="1:8" x14ac:dyDescent="0.3">
      <c r="A440" s="14" t="s">
        <v>7</v>
      </c>
      <c r="B440" s="15">
        <v>45190</v>
      </c>
      <c r="C440" s="15">
        <v>45224</v>
      </c>
      <c r="D440" s="15">
        <v>45285</v>
      </c>
      <c r="E440" s="19" t="s">
        <v>98</v>
      </c>
      <c r="F440" s="19" t="s">
        <v>99</v>
      </c>
      <c r="G440" s="20">
        <v>84</v>
      </c>
      <c r="H440" s="21" t="s">
        <v>658</v>
      </c>
    </row>
    <row r="441" spans="1:8" x14ac:dyDescent="0.3">
      <c r="A441" s="12" t="s">
        <v>66</v>
      </c>
      <c r="B441" s="13">
        <v>45198</v>
      </c>
      <c r="C441" s="13">
        <v>45225</v>
      </c>
      <c r="D441" s="13">
        <v>45260</v>
      </c>
      <c r="E441" s="16" t="s">
        <v>659</v>
      </c>
      <c r="F441" s="16" t="s">
        <v>15</v>
      </c>
      <c r="G441" s="17">
        <v>39</v>
      </c>
      <c r="H441" s="18" t="s">
        <v>660</v>
      </c>
    </row>
    <row r="442" spans="1:8" x14ac:dyDescent="0.3">
      <c r="A442" s="14" t="s">
        <v>11</v>
      </c>
      <c r="B442" s="15">
        <v>45201</v>
      </c>
      <c r="C442" s="15">
        <v>45225</v>
      </c>
      <c r="D442" s="15">
        <v>45261</v>
      </c>
      <c r="E442" s="19" t="s">
        <v>661</v>
      </c>
      <c r="F442" s="19" t="s">
        <v>15</v>
      </c>
      <c r="G442" s="20">
        <v>87</v>
      </c>
      <c r="H442" s="21" t="s">
        <v>662</v>
      </c>
    </row>
    <row r="443" spans="1:8" x14ac:dyDescent="0.3">
      <c r="A443" s="12" t="s">
        <v>5</v>
      </c>
      <c r="B443" s="13">
        <v>45195</v>
      </c>
      <c r="C443" s="13">
        <v>45225</v>
      </c>
      <c r="D443" s="13">
        <v>45257</v>
      </c>
      <c r="E443" s="16" t="s">
        <v>663</v>
      </c>
      <c r="F443" s="16" t="s">
        <v>15</v>
      </c>
      <c r="G443" s="17">
        <v>52</v>
      </c>
      <c r="H443" s="18" t="s">
        <v>664</v>
      </c>
    </row>
    <row r="444" spans="1:8" x14ac:dyDescent="0.3">
      <c r="A444" s="14" t="s">
        <v>52</v>
      </c>
      <c r="B444" s="15">
        <v>45182</v>
      </c>
      <c r="C444" s="15">
        <v>45229</v>
      </c>
      <c r="D444" s="15">
        <v>45255</v>
      </c>
      <c r="E444" s="19" t="s">
        <v>665</v>
      </c>
      <c r="F444" s="19" t="s">
        <v>16</v>
      </c>
      <c r="G444" s="20">
        <v>41</v>
      </c>
      <c r="H444" s="21" t="s">
        <v>666</v>
      </c>
    </row>
    <row r="445" spans="1:8" x14ac:dyDescent="0.3">
      <c r="A445" s="12" t="s">
        <v>52</v>
      </c>
      <c r="B445" s="13">
        <v>45182</v>
      </c>
      <c r="C445" s="13">
        <v>45229</v>
      </c>
      <c r="D445" s="13">
        <v>45255</v>
      </c>
      <c r="E445" s="16" t="s">
        <v>665</v>
      </c>
      <c r="F445" s="16" t="s">
        <v>16</v>
      </c>
      <c r="G445" s="17">
        <v>34</v>
      </c>
      <c r="H445" s="18" t="s">
        <v>667</v>
      </c>
    </row>
    <row r="446" spans="1:8" x14ac:dyDescent="0.3">
      <c r="A446" s="14" t="s">
        <v>668</v>
      </c>
      <c r="B446" s="15">
        <v>45194</v>
      </c>
      <c r="C446" s="15">
        <v>45229</v>
      </c>
      <c r="D446" s="15">
        <v>45294</v>
      </c>
      <c r="E446" s="19" t="s">
        <v>669</v>
      </c>
      <c r="F446" s="19" t="s">
        <v>17</v>
      </c>
      <c r="G446" s="20">
        <v>217</v>
      </c>
      <c r="H446" s="21" t="s">
        <v>670</v>
      </c>
    </row>
    <row r="447" spans="1:8" x14ac:dyDescent="0.3">
      <c r="A447" s="12" t="s">
        <v>86</v>
      </c>
      <c r="B447" s="13">
        <v>45201</v>
      </c>
      <c r="C447" s="13">
        <v>45231</v>
      </c>
      <c r="D447" s="13">
        <v>45201</v>
      </c>
      <c r="E447" s="16" t="s">
        <v>671</v>
      </c>
      <c r="F447" s="16" t="s">
        <v>16</v>
      </c>
      <c r="G447" s="17">
        <v>46</v>
      </c>
      <c r="H447" s="18" t="s">
        <v>672</v>
      </c>
    </row>
    <row r="448" spans="1:8" x14ac:dyDescent="0.3">
      <c r="A448" s="14" t="s">
        <v>86</v>
      </c>
      <c r="B448" s="15">
        <v>45202</v>
      </c>
      <c r="C448" s="15">
        <v>45231</v>
      </c>
      <c r="D448" s="15">
        <v>45202</v>
      </c>
      <c r="E448" s="19" t="s">
        <v>630</v>
      </c>
      <c r="F448" s="19" t="s">
        <v>16</v>
      </c>
      <c r="G448" s="20">
        <v>6</v>
      </c>
      <c r="H448" s="21" t="s">
        <v>631</v>
      </c>
    </row>
    <row r="449" spans="1:8" x14ac:dyDescent="0.3">
      <c r="A449" s="12" t="s">
        <v>86</v>
      </c>
      <c r="B449" s="13">
        <v>45202</v>
      </c>
      <c r="C449" s="13">
        <v>45231</v>
      </c>
      <c r="D449" s="13">
        <v>45202</v>
      </c>
      <c r="E449" s="16" t="s">
        <v>630</v>
      </c>
      <c r="F449" s="16" t="s">
        <v>16</v>
      </c>
      <c r="G449" s="17">
        <v>1</v>
      </c>
      <c r="H449" s="18" t="s">
        <v>632</v>
      </c>
    </row>
    <row r="450" spans="1:8" x14ac:dyDescent="0.3">
      <c r="A450" s="14" t="s">
        <v>7</v>
      </c>
      <c r="B450" s="15">
        <v>45197</v>
      </c>
      <c r="C450" s="15">
        <v>45231</v>
      </c>
      <c r="D450" s="15">
        <v>45291</v>
      </c>
      <c r="E450" s="19" t="s">
        <v>673</v>
      </c>
      <c r="F450" s="19" t="s">
        <v>16</v>
      </c>
      <c r="G450" s="20">
        <v>65</v>
      </c>
      <c r="H450" s="21" t="s">
        <v>674</v>
      </c>
    </row>
    <row r="451" spans="1:8" x14ac:dyDescent="0.3">
      <c r="A451" s="12" t="s">
        <v>7</v>
      </c>
      <c r="B451" s="13">
        <v>45202</v>
      </c>
      <c r="C451" s="13">
        <v>45231</v>
      </c>
      <c r="D451" s="13">
        <v>45202</v>
      </c>
      <c r="E451" s="16" t="s">
        <v>630</v>
      </c>
      <c r="F451" s="16" t="s">
        <v>16</v>
      </c>
      <c r="G451" s="17">
        <v>8</v>
      </c>
      <c r="H451" s="18" t="s">
        <v>640</v>
      </c>
    </row>
    <row r="452" spans="1:8" x14ac:dyDescent="0.3">
      <c r="A452" s="14" t="s">
        <v>7</v>
      </c>
      <c r="B452" s="15">
        <v>45202</v>
      </c>
      <c r="C452" s="15">
        <v>45231</v>
      </c>
      <c r="D452" s="15">
        <v>45202</v>
      </c>
      <c r="E452" s="19" t="s">
        <v>630</v>
      </c>
      <c r="F452" s="19" t="s">
        <v>16</v>
      </c>
      <c r="G452" s="20">
        <v>3</v>
      </c>
      <c r="H452" s="21" t="s">
        <v>675</v>
      </c>
    </row>
    <row r="453" spans="1:8" x14ac:dyDescent="0.3">
      <c r="A453" s="12" t="s">
        <v>11</v>
      </c>
      <c r="B453" s="13">
        <v>45197</v>
      </c>
      <c r="C453" s="13">
        <v>45231</v>
      </c>
      <c r="D453" s="13">
        <v>45198</v>
      </c>
      <c r="E453" s="16" t="s">
        <v>676</v>
      </c>
      <c r="F453" s="16" t="s">
        <v>15</v>
      </c>
      <c r="G453" s="17">
        <v>7</v>
      </c>
      <c r="H453" s="18" t="s">
        <v>677</v>
      </c>
    </row>
    <row r="454" spans="1:8" x14ac:dyDescent="0.3">
      <c r="A454" s="14" t="s">
        <v>97</v>
      </c>
      <c r="B454" s="15">
        <v>45196</v>
      </c>
      <c r="C454" s="15">
        <v>45231</v>
      </c>
      <c r="D454" s="15">
        <v>45198</v>
      </c>
      <c r="E454" s="19" t="s">
        <v>678</v>
      </c>
      <c r="F454" s="19" t="s">
        <v>15</v>
      </c>
      <c r="G454" s="20">
        <v>17</v>
      </c>
      <c r="H454" s="21" t="s">
        <v>679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630</v>
      </c>
      <c r="F455" s="16" t="s">
        <v>16</v>
      </c>
      <c r="G455" s="17">
        <v>54</v>
      </c>
      <c r="H455" s="18" t="s">
        <v>680</v>
      </c>
    </row>
    <row r="456" spans="1:8" x14ac:dyDescent="0.3">
      <c r="A456" s="14" t="s">
        <v>175</v>
      </c>
      <c r="B456" s="15">
        <v>45196</v>
      </c>
      <c r="C456" s="15">
        <v>45231</v>
      </c>
      <c r="D456" s="15">
        <v>45198</v>
      </c>
      <c r="E456" s="19" t="s">
        <v>678</v>
      </c>
      <c r="F456" s="19" t="s">
        <v>15</v>
      </c>
      <c r="G456" s="20">
        <v>46</v>
      </c>
      <c r="H456" s="21" t="s">
        <v>681</v>
      </c>
    </row>
    <row r="457" spans="1:8" x14ac:dyDescent="0.3">
      <c r="A457" s="12" t="s">
        <v>63</v>
      </c>
      <c r="B457" s="13">
        <v>45203</v>
      </c>
      <c r="C457" s="13">
        <v>45233</v>
      </c>
      <c r="D457" s="13">
        <v>45275</v>
      </c>
      <c r="E457" s="16" t="s">
        <v>682</v>
      </c>
      <c r="F457" s="16" t="s">
        <v>16</v>
      </c>
      <c r="G457" s="17">
        <v>41</v>
      </c>
      <c r="H457" s="18" t="s">
        <v>683</v>
      </c>
    </row>
    <row r="458" spans="1:8" x14ac:dyDescent="0.3">
      <c r="A458" s="14" t="s">
        <v>63</v>
      </c>
      <c r="B458" s="15">
        <v>45203</v>
      </c>
      <c r="C458" s="15">
        <v>45233</v>
      </c>
      <c r="D458" s="15">
        <v>45000</v>
      </c>
      <c r="E458" s="19" t="s">
        <v>682</v>
      </c>
      <c r="F458" s="19" t="s">
        <v>16</v>
      </c>
      <c r="G458" s="20">
        <v>1</v>
      </c>
      <c r="H458" s="21" t="s">
        <v>683</v>
      </c>
    </row>
    <row r="459" spans="1:8" x14ac:dyDescent="0.3">
      <c r="A459" s="12" t="s">
        <v>76</v>
      </c>
      <c r="B459" s="13">
        <v>45202</v>
      </c>
      <c r="C459" s="13">
        <v>45233</v>
      </c>
      <c r="D459" s="13">
        <v>45322</v>
      </c>
      <c r="E459" s="16" t="s">
        <v>684</v>
      </c>
      <c r="F459" s="16" t="s">
        <v>15</v>
      </c>
      <c r="G459" s="17">
        <v>52</v>
      </c>
      <c r="H459" s="18" t="s">
        <v>685</v>
      </c>
    </row>
    <row r="460" spans="1:8" x14ac:dyDescent="0.3">
      <c r="A460" s="14" t="s">
        <v>86</v>
      </c>
      <c r="B460" s="15">
        <v>45202</v>
      </c>
      <c r="C460" s="15">
        <v>45236</v>
      </c>
      <c r="D460" s="15">
        <v>45278</v>
      </c>
      <c r="E460" s="19" t="s">
        <v>525</v>
      </c>
      <c r="F460" s="19" t="s">
        <v>16</v>
      </c>
      <c r="G460" s="20">
        <v>101</v>
      </c>
      <c r="H460" s="21" t="s">
        <v>526</v>
      </c>
    </row>
    <row r="461" spans="1:8" x14ac:dyDescent="0.3">
      <c r="A461" s="12" t="s">
        <v>5</v>
      </c>
      <c r="B461" s="13">
        <v>45203</v>
      </c>
      <c r="C461" s="13">
        <v>45236</v>
      </c>
      <c r="D461" s="13">
        <v>45271</v>
      </c>
      <c r="E461" s="16" t="s">
        <v>686</v>
      </c>
      <c r="F461" s="16" t="s">
        <v>15</v>
      </c>
      <c r="G461" s="17">
        <v>83</v>
      </c>
      <c r="H461" s="18" t="s">
        <v>687</v>
      </c>
    </row>
    <row r="462" spans="1:8" x14ac:dyDescent="0.3">
      <c r="A462" s="14" t="s">
        <v>5</v>
      </c>
      <c r="B462" s="15">
        <v>45203</v>
      </c>
      <c r="C462" s="15">
        <v>45236</v>
      </c>
      <c r="D462" s="15">
        <v>45271</v>
      </c>
      <c r="E462" s="19" t="s">
        <v>686</v>
      </c>
      <c r="F462" s="19" t="s">
        <v>15</v>
      </c>
      <c r="G462" s="20">
        <v>1</v>
      </c>
      <c r="H462" s="21" t="s">
        <v>688</v>
      </c>
    </row>
    <row r="463" spans="1:8" x14ac:dyDescent="0.3">
      <c r="A463" s="12" t="s">
        <v>7</v>
      </c>
      <c r="B463" s="13">
        <v>45202</v>
      </c>
      <c r="C463" s="13">
        <v>45236</v>
      </c>
      <c r="D463" s="13">
        <v>45264</v>
      </c>
      <c r="E463" s="16" t="s">
        <v>689</v>
      </c>
      <c r="F463" s="16" t="s">
        <v>16</v>
      </c>
      <c r="G463" s="17">
        <v>108</v>
      </c>
      <c r="H463" s="18" t="s">
        <v>690</v>
      </c>
    </row>
    <row r="464" spans="1:8" x14ac:dyDescent="0.3">
      <c r="A464" s="14" t="s">
        <v>6</v>
      </c>
      <c r="B464" s="15">
        <v>45203</v>
      </c>
      <c r="C464" s="15">
        <v>45236</v>
      </c>
      <c r="D464" s="15">
        <v>45264</v>
      </c>
      <c r="E464" s="19" t="s">
        <v>691</v>
      </c>
      <c r="F464" s="19" t="s">
        <v>15</v>
      </c>
      <c r="G464" s="20">
        <v>77</v>
      </c>
      <c r="H464" s="21" t="s">
        <v>692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7355C4F-606E-4B95-AB77-21B54EB38A7F}"/>
</file>

<file path=customXml/itemProps2.xml><?xml version="1.0" encoding="utf-8"?>
<ds:datastoreItem xmlns:ds="http://schemas.openxmlformats.org/officeDocument/2006/customXml" ds:itemID="{4CE684CC-45EB-4D94-B199-C0FF4D3E64E5}"/>
</file>

<file path=customXml/itemProps3.xml><?xml version="1.0" encoding="utf-8"?>
<ds:datastoreItem xmlns:ds="http://schemas.openxmlformats.org/officeDocument/2006/customXml" ds:itemID="{839D2693-8B48-447A-A5A7-29CAF1D28E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2023-11-07T22:20:16Z</dcterms:modified>
  <cp:category>Calculating WARN Report</cp:category>
</cp:coreProperties>
</file>