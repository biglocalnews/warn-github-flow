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5749C1AB-6FD7-4E8F-8F28-07D6AD06B3B1}" xr6:coauthVersionLast="47" xr6:coauthVersionMax="47" xr10:uidLastSave="{00000000-0000-0000-0000-000000000000}"/>
  <bookViews>
    <workbookView xWindow="2688" yWindow="2688" windowWidth="17280" windowHeight="888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<sst xmlns="http://schemas.openxmlformats.org/spreadsheetml/2006/main" count="7256" uniqueCount="2462">
  <si>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</si>
  <si>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</si>
  <si>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</si>
  <si>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</si>
  <si>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</si>
  <si>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</si>
  <si>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</si>
  <si>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</si>
  <si>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</si>
  <si>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</si>
  <si>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</si>
  <si>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</si>
  <si>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</si>
  <si>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</si>
  <si>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</si>
  <si>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</si>
  <si>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</si>
  <si>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</si>
  <si>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</si>
  <si>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</si>
  <si>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</si>
  <si>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</si>
  <si>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</si>
  <si>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</si>
  <si>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</si>
  <si>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</si>
  <si>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</si>
  <si>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</si>
  <si>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</si>
  <si>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</si>
  <si>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</si>
  <si>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</si>
  <si>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</si>
  <si>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</si>
  <si>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</si>
  <si>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</si>
  <si>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</si>
  <si>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</si>
  <si>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</si>
  <si>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</si>
  <si>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</si>
  <si>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</si>
  <si>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</si>
  <si>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</si>
  <si>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</si>
  <si>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</si>
  <si>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</si>
  <si>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</si>
  <si>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</si>
  <si>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</si>
  <si>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</si>
  <si>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</si>
  <si>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</si>
  <si>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</si>
  <si>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</si>
  <si>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</si>
  <si>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</si>
  <si>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</si>
  <si>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</si>
  <si>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</si>
  <si>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</si>
  <si>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</si>
  <si>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</si>
  <si>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</si>
  <si>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</si>
  <si>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</si>
  <si>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</si>
  <si>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</si>
  <si>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</si>
  <si>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</si>
  <si>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</si>
  <si>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</si>
  <si>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</si>
  <si>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</si>
  <si>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</si>
  <si>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</si>
  <si>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</si>
  <si>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</si>
  <si>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</si>
  <si>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</si>
  <si>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</si>
  <si>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</si>
  <si>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</si>
  <si>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</si>
  <si>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</si>
  <si>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</si>
  <si>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</si>
  <si>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</si>
  <si>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</si>
  <si>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</si>
  <si>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</si>
  <si>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</si>
  <si>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</si>
  <si>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</si>
  <si>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</si>
  <si>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</si>
  <si>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</si>
  <si>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</si>
  <si>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</si>
  <si>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</si>
  <si>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</si>
  <si>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</si>
  <si>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</si>
  <si>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</si>
  <si>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</si>
  <si>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</si>
  <si>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</si>
  <si>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</si>
  <si>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</si>
  <si>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</si>
  <si>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</si>
  <si>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</si>
  <si>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</si>
  <si>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</si>
  <si>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</si>
  <si>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</si>
  <si>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</si>
  <si>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</si>
  <si>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</si>
  <si>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</si>
  <si>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</si>
  <si>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</si>
  <si>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</si>
  <si>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</si>
  <si>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</si>
  <si>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</si>
  <si>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</si>
  <si>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</si>
  <si>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</si>
  <si>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</si>
  <si>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</si>
  <si>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</si>
  <si>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</si>
  <si>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</si>
  <si>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</si>
  <si>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</si>
  <si>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</si>
  <si>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</si>
  <si>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</si>
  <si>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</si>
  <si>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</si>
  <si>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</si>
  <si>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</si>
  <si>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</si>
  <si>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</si>
  <si>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</si>
  <si>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</si>
  <si>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</si>
  <si>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</si>
  <si>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</si>
  <si>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</si>
  <si>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</si>
  <si>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</si>
  <si>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</si>
  <si>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</si>
  <si>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</si>
  <si>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</si>
  <si>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</si>
  <si>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</si>
  <si>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</si>
  <si>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</si>
  <si>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</si>
  <si>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</si>
  <si>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</si>
  <si>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</si>
  <si>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</si>
  <si>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</si>
  <si>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</si>
  <si>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</si>
  <si>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</si>
  <si>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</si>
  <si>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</si>
  <si>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</si>
  <si>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</si>
  <si>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</si>
  <si>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</si>
  <si>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</si>
  <si>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</si>
  <si>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</si>
  <si>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</si>
  <si>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</si>
  <si>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</si>
  <si>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</si>
  <si>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</si>
  <si>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</si>
  <si>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</si>
  <si>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</si>
  <si>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</si>
  <si>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</si>
  <si>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</si>
  <si>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</si>
  <si>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</si>
  <si>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</si>
  <si>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</si>
  <si>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</si>
  <si>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</si>
  <si>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</si>
  <si>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</si>
  <si>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</si>
  <si>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</si>
  <si>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</si>
  <si>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</si>
  <si>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</si>
  <si>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</si>
  <si>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</si>
  <si>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</si>
  <si>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</si>
  <si>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</si>
  <si>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</si>
  <si>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</si>
  <si>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</si>
  <si>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</si>
  <si>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</si>
  <si>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</si>
  <si>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</si>
  <si>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</si>
  <si>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</si>
  <si>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</si>
  <si>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</si>
  <si>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</si>
  <si>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</si>
  <si>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</si>
  <si>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</si>
  <si>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</si>
  <si>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</si>
  <si>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</si>
  <si>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</si>
  <si>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</si>
  <si>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</si>
  <si>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</si>
  <si>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</si>
  <si>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</si>
  <si>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</si>
  <si>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</si>
  <si>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</si>
  <si>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</si>
  <si>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</si>
  <si>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</si>
  <si>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</si>
  <si>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</si>
  <si>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</si>
  <si>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</si>
  <si>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</si>
  <si>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</si>
  <si>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</si>
  <si>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</si>
  <si>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</si>
  <si>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</si>
  <si>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</si>
  <si>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</si>
  <si>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</si>
  <si>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</si>
  <si>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</si>
  <si>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</si>
  <si>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</si>
  <si>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</si>
  <si>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</si>
  <si>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</si>
  <si>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</si>
  <si>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</si>
  <si>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</si>
  <si>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</si>
  <si>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</si>
  <si>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</si>
  <si>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</si>
  <si>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</si>
  <si>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</si>
  <si>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</si>
  <si>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</si>
  <si>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</si>
  <si>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</si>
  <si>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</si>
  <si>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</si>
  <si>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</si>
  <si>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</si>
  <si>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</si>
  <si>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</si>
  <si>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</si>
  <si>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</si>
  <si>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</si>
  <si>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</si>
  <si>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</si>
  <si>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</si>
  <si>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</si>
  <si>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</si>
  <si>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</si>
  <si>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</si>
  <si>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</si>
  <si>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</si>
  <si>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</si>
  <si>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</si>
  <si>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</si>
  <si>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</si>
  <si>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</si>
  <si>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</si>
  <si>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</si>
  <si>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</si>
  <si>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</si>
  <si>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</si>
  <si>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</si>
  <si>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</si>
  <si>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</si>
  <si>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</si>
  <si>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</si>
  <si>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</si>
  <si>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</si>
  <si>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</si>
  <si>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</si>
  <si>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</si>
  <si>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</si>
  <si>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</si>
  <si>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</si>
  <si>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</si>
  <si>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</si>
  <si>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</si>
  <si>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</si>
  <si>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</si>
  <si>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</si>
  <si>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</si>
  <si>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</si>
  <si>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</si>
  <si>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</si>
  <si>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</si>
  <si>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</si>
  <si>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</si>
  <si>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</si>
  <si>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</si>
  <si>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</si>
  <si>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</si>
  <si>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</si>
  <si>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</si>
  <si>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</si>
  <si>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</si>
  <si>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</si>
  <si>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</si>
  <si>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</si>
  <si>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</si>
  <si>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</si>
  <si>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</si>
  <si>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</si>
  <si>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</si>
  <si>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</si>
  <si>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</si>
  <si>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</si>
  <si>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</si>
  <si>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</si>
  <si>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</si>
  <si>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</si>
  <si>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</si>
  <si>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</si>
  <si>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</si>
  <si>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</si>
  <si>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</si>
  <si>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</si>
  <si>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</si>
  <si>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</si>
  <si>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</si>
  <si>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</si>
  <si>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</si>
  <si>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</si>
  <si>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</si>
  <si>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</si>
  <si>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</si>
  <si>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</si>
  <si>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</si>
  <si>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</si>
  <si>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</si>
  <si>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</si>
  <si>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</si>
  <si>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</si>
  <si>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</si>
  <si>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</si>
  <si>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</si>
  <si>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</si>
  <si>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</si>
  <si>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</si>
  <si>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</si>
  <si>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</si>
  <si>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</si>
  <si>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</si>
  <si>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</si>
  <si>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</si>
  <si>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</si>
  <si>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</si>
  <si>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</si>
  <si>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</si>
  <si>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</si>
  <si>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</si>
  <si>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</si>
  <si>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</si>
  <si>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</si>
  <si>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</si>
  <si>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</si>
  <si>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</si>
  <si>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</si>
  <si>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</si>
  <si>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</si>
  <si>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</si>
  <si>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</si>
  <si>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</si>
  <si>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</si>
  <si>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</si>
  <si>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</si>
  <si>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</si>
  <si>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</si>
  <si>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</si>
  <si>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</si>
  <si>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</si>
  <si>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</si>
  <si>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</si>
  <si>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</si>
  <si>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</si>
  <si>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</si>
  <si>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</si>
  <si>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</si>
  <si>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</si>
  <si>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</si>
  <si>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</si>
  <si>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</si>
  <si>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</si>
  <si>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</si>
  <si>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</si>
  <si>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</si>
  <si>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</si>
  <si>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</si>
  <si>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</si>
  <si>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</si>
  <si>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</si>
  <si>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</si>
  <si>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</si>
  <si>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</si>
  <si>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</si>
  <si>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</si>
  <si>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</si>
  <si>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</si>
  <si>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</si>
  <si>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</si>
  <si>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</si>
  <si>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</si>
  <si>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</si>
  <si>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</si>
  <si>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</si>
  <si>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</si>
  <si>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</si>
  <si>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</si>
  <si>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</si>
  <si>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</si>
  <si>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</si>
  <si>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</si>
  <si>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</si>
  <si>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</si>
  <si>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</si>
  <si>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</si>
  <si>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</si>
  <si>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</si>
  <si>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</si>
  <si>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</si>
  <si>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</si>
  <si>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</si>
  <si>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</si>
  <si>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</si>
  <si>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</si>
  <si>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</si>
  <si>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</si>
  <si>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</si>
  <si>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</si>
  <si>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</si>
  <si>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</si>
  <si>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</si>
  <si>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</si>
  <si>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</si>
  <si>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</si>
  <si>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</si>
  <si>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</si>
  <si>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</si>
  <si>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</si>
  <si>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</si>
  <si>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</si>
  <si>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</si>
  <si>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</si>
  <si>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</si>
  <si>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</si>
  <si>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</si>
  <si>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</si>
  <si>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</si>
  <si>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</si>
  <si>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</si>
  <si>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</si>
  <si>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</si>
  <si>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</si>
  <si>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</si>
  <si>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</si>
  <si>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</si>
  <si>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</si>
  <si>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</si>
  <si>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</si>
  <si>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</si>
  <si>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</si>
  <si>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</si>
  <si>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</si>
  <si>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</si>
  <si>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</si>
  <si>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</si>
  <si>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</si>
  <si>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</si>
  <si>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</si>
  <si>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</si>
  <si>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</si>
  <si>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</si>
  <si>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</si>
  <si>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</si>
  <si>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</si>
  <si>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</si>
  <si>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</si>
  <si>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</si>
  <si>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</si>
  <si>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</si>
  <si>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</si>
  <si>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</si>
  <si>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</si>
  <si>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</si>
  <si>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</si>
  <si>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</si>
  <si>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</si>
  <si>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</si>
  <si>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</si>
  <si>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</si>
  <si>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</si>
  <si>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</si>
  <si>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</si>
  <si>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</si>
  <si>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</si>
  <si>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</si>
  <si>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</si>
  <si>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</si>
  <si>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</si>
  <si>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</si>
  <si>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</si>
  <si>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</si>
  <si>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</si>
  <si>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</si>
  <si>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</si>
  <si>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</si>
  <si>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</si>
  <si>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</si>
  <si>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</si>
  <si>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</si>
  <si>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</si>
  <si>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</si>
  <si>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</si>
  <si>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</si>
  <si>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</si>
  <si>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</si>
  <si>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</si>
  <si>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</si>
  <si>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</si>
  <si>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</si>
  <si>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</si>
  <si>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</si>
  <si>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</si>
  <si>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</si>
  <si>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</si>
  <si>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</si>
  <si>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</si>
  <si>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</si>
  <si>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</si>
  <si>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</si>
  <si>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</si>
  <si>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</si>
  <si>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</si>
  <si>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</si>
  <si>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</si>
  <si>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</si>
  <si>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</si>
  <si>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</si>
  <si>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</si>
  <si>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</si>
  <si>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</si>
  <si>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</si>
  <si>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</si>
  <si>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</si>
  <si>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</si>
  <si>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</si>
  <si>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</si>
  <si>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</si>
  <si>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</si>
  <si>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</si>
  <si>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</si>
  <si>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</si>
  <si>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</si>
  <si>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</si>
  <si>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</si>
  <si>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</si>
  <si>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</si>
  <si>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</si>
  <si>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</si>
  <si>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</si>
  <si>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</si>
  <si>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</si>
  <si>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</si>
  <si>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</si>
  <si>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</si>
  <si>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</si>
  <si>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</si>
  <si>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</si>
  <si>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</si>
  <si>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</si>
  <si>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</si>
  <si>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</si>
  <si>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</si>
  <si>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</si>
  <si>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</si>
  <si>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</si>
  <si>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</si>
  <si>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</si>
  <si>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</si>
  <si>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</si>
  <si>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</si>
  <si>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</si>
  <si>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</si>
  <si>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</si>
  <si>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</si>
  <si>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</si>
  <si>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</si>
  <si>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</si>
  <si>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</si>
  <si>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</si>
  <si>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</si>
  <si>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</si>
  <si>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</si>
  <si>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</si>
  <si>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</si>
  <si>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</si>
  <si>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</si>
  <si>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</si>
  <si>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</si>
  <si>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</si>
  <si>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</si>
  <si>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</si>
  <si>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</si>
  <si>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</si>
  <si>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</si>
  <si>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</si>
  <si>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</si>
  <si>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</si>
  <si>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</si>
  <si>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</si>
  <si>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</si>
  <si>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</si>
  <si>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</si>
  <si>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</si>
  <si>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</si>
  <si>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</si>
  <si>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</si>
  <si>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</si>
  <si>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</si>
  <si>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</si>
  <si>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</si>
  <si>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</si>
  <si>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</si>
  <si>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</si>
  <si>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</si>
  <si>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</si>
  <si>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</si>
  <si>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</si>
  <si>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</si>
  <si>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</si>
  <si>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</si>
  <si>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</si>
  <si>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</si>
  <si>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</si>
  <si>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</si>
  <si>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</si>
  <si>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</si>
  <si>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</si>
  <si>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</si>
  <si>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</si>
  <si>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</si>
  <si>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</si>
  <si>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</si>
  <si>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</si>
  <si>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</si>
  <si>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</si>
  <si>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</si>
  <si>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</si>
  <si>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</si>
  <si>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</si>
  <si>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</si>
  <si>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</si>
  <si>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</si>
  <si>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</si>
  <si>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</si>
  <si>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</si>
  <si>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</si>
  <si>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</si>
  <si>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</si>
  <si>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</si>
  <si>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</si>
  <si>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</si>
  <si>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</si>
  <si>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</si>
  <si>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</si>
  <si>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</si>
  <si>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</si>
  <si>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</si>
  <si>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</si>
  <si>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</si>
  <si>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</si>
  <si>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</si>
  <si>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</si>
  <si>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</si>
  <si>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</si>
  <si>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</si>
  <si>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</si>
  <si>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</si>
  <si>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</si>
  <si>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</si>
  <si>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</si>
  <si>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</si>
  <si>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</si>
  <si>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</si>
  <si>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</si>
  <si>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</si>
  <si>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</si>
  <si>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</si>
  <si>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</si>
  <si>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</si>
  <si>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</si>
  <si>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</si>
  <si>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</si>
  <si>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</si>
  <si>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</si>
  <si>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</si>
  <si>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</si>
  <si>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</si>
  <si>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</si>
  <si>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</si>
  <si>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</si>
  <si>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</si>
  <si>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</si>
  <si>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</si>
  <si>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</si>
  <si>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</si>
  <si>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</si>
  <si>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</si>
  <si>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</si>
  <si>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</si>
  <si>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</si>
  <si>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</si>
  <si>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</si>
  <si>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</si>
  <si>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</si>
  <si>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</si>
  <si>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</si>
  <si>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</si>
  <si>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</si>
  <si>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</si>
  <si>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</si>
  <si>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</si>
  <si>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</si>
  <si>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</si>
  <si>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</si>
  <si>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</si>
  <si>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</si>
  <si>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</si>
  <si>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</si>
  <si>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</si>
  <si>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</si>
  <si>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</si>
  <si>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</si>
  <si>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</si>
  <si>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</si>
  <si>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</si>
  <si>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</si>
  <si>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</si>
  <si>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</si>
  <si>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</si>
  <si>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</si>
  <si>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</si>
  <si>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</si>
  <si>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</si>
  <si>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</si>
  <si>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</si>
  <si>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</si>
  <si>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</si>
  <si>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</si>
  <si>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</si>
  <si>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</si>
  <si>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</si>
  <si>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</si>
  <si>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</si>
  <si>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</si>
  <si>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</si>
  <si>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</si>
  <si>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</si>
  <si>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</si>
  <si>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</si>
  <si>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</si>
  <si>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</si>
  <si>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</si>
  <si>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</si>
  <si>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</si>
  <si>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</si>
  <si>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</si>
  <si>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</si>
  <si>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</si>
  <si>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</si>
  <si>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</si>
  <si>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</si>
  <si>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</si>
  <si>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</si>
  <si>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</si>
  <si>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</si>
  <si>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</si>
  <si>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</si>
  <si>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</si>
  <si>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</si>
  <si>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</si>
  <si>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</si>
  <si>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</si>
  <si>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</si>
  <si>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</si>
  <si>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</si>
  <si>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</si>
  <si>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</si>
  <si>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</si>
  <si>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</si>
  <si>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</si>
  <si>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</si>
  <si>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</si>
  <si>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</si>
  <si>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</si>
  <si>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</si>
  <si>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</si>
  <si>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</si>
  <si>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</si>
  <si>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</si>
  <si>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</si>
  <si>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</si>
  <si>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</si>
  <si>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</si>
  <si>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</si>
  <si>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</si>
  <si>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</si>
  <si>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</si>
  <si>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</si>
  <si>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</si>
  <si>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</si>
  <si>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</si>
  <si>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</si>
  <si>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</si>
  <si>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</si>
  <si>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</si>
  <si>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</si>
  <si>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</si>
  <si>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</si>
  <si>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</si>
  <si>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</si>
  <si>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</si>
  <si>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</si>
  <si>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</si>
  <si>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</si>
  <si>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</si>
  <si>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</si>
  <si>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</si>
  <si>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</si>
  <si>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</si>
  <si>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</si>
  <si>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</si>
  <si>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</si>
  <si>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</si>
  <si>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</si>
  <si>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</si>
  <si>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</si>
  <si>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</si>
  <si>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</si>
  <si>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</si>
  <si>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</si>
  <si>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</si>
  <si>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</si>
  <si>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</si>
  <si>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</si>
  <si>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</si>
  <si>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</si>
  <si>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</si>
  <si>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</si>
  <si>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</si>
  <si>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</si>
  <si>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</si>
  <si>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</si>
  <si>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</si>
  <si>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</si>
  <si>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</si>
  <si>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</si>
  <si>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</si>
  <si>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</si>
  <si>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</si>
  <si>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</si>
  <si>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</si>
  <si>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</si>
  <si>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</si>
  <si>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</si>
  <si>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</si>
  <si>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</si>
  <si>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</si>
  <si>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</si>
  <si>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</si>
  <si>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</si>
  <si>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</si>
  <si>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</si>
  <si>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</si>
  <si>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</si>
  <si>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</si>
  <si>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</si>
  <si>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</si>
  <si>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</si>
  <si>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</si>
  <si>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</si>
  <si>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</si>
  <si>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</si>
  <si>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</si>
  <si>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</si>
  <si>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</si>
  <si>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</si>
  <si>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</si>
  <si>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</si>
  <si>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</si>
  <si>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</si>
  <si>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</si>
  <si>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</si>
  <si>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</si>
  <si>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</si>
  <si>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</si>
  <si>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</si>
  <si>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</si>
  <si>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</si>
  <si>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</si>
  <si>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</si>
  <si>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</si>
  <si>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</si>
  <si>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</si>
  <si>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</si>
  <si>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</si>
  <si>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</si>
  <si>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</si>
  <si>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</si>
  <si>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</si>
  <si>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</si>
  <si>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</si>
  <si>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</si>
  <si>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</si>
  <si>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</si>
  <si>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</si>
  <si>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</si>
  <si>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</si>
  <si>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</si>
  <si>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</si>
  <si>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</si>
  <si>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</si>
  <si>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</si>
  <si>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</si>
  <si>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</si>
  <si>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</si>
  <si>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</si>
  <si>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</si>
  <si>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</si>
  <si>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</si>
  <si>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</si>
  <si>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</si>
  <si>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</si>
  <si>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</si>
  <si>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</si>
  <si>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</si>
  <si>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</si>
  <si>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</si>
  <si>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</si>
  <si>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</si>
  <si>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</si>
  <si>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</si>
  <si>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</si>
  <si>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</si>
  <si>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</si>
  <si>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</si>
  <si>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</si>
  <si>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</si>
  <si>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</si>
  <si>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</si>
  <si>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</si>
  <si>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</si>
  <si>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</si>
  <si>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</si>
  <si>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</si>
  <si>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</si>
  <si>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</si>
  <si>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</si>
  <si>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</si>
  <si>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</si>
  <si>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</si>
  <si>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</si>
  <si>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</si>
  <si>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</si>
  <si>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</si>
  <si>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</si>
  <si>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</si>
  <si>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</si>
  <si>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</si>
  <si>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</si>
  <si>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</si>
  <si>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</si>
  <si>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</si>
  <si>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</si>
  <si>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</si>
  <si>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</si>
  <si>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</si>
  <si>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</si>
  <si>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</si>
  <si>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</si>
  <si>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</si>
  <si>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</si>
  <si>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</si>
  <si>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</si>
  <si>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</si>
  <si>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</si>
  <si>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</si>
  <si>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</si>
  <si>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</si>
  <si>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</si>
  <si>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</si>
  <si>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</si>
  <si>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</si>
  <si>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</si>
  <si>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</si>
  <si>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</si>
  <si>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</si>
  <si>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</si>
  <si>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</si>
  <si>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</si>
  <si>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</si>
  <si>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</si>
  <si>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</si>
  <si>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</si>
  <si>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</si>
  <si>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</si>
  <si>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</si>
  <si>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</si>
  <si>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</si>
  <si>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</si>
  <si>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</si>
  <si>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</si>
  <si>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</si>
  <si>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</si>
  <si>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</si>
  <si>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</si>
  <si>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</si>
  <si>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</si>
  <si>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</si>
  <si>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</si>
  <si>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</si>
  <si>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</si>
  <si>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</si>
  <si>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</si>
  <si>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</si>
  <si>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</si>
  <si>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</si>
  <si>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</si>
  <si>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</si>
  <si>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</si>
  <si>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</si>
  <si>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</si>
  <si>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</si>
  <si>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</si>
  <si>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</si>
  <si>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</si>
  <si>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</si>
  <si>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</si>
  <si>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</si>
  <si>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</si>
  <si>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</si>
  <si>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</si>
  <si>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</si>
  <si>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</si>
  <si>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</si>
  <si>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</si>
  <si>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</si>
  <si>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</si>
  <si>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</si>
  <si>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</si>
  <si>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</si>
  <si>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</si>
  <si>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</si>
  <si>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</si>
  <si>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</si>
  <si>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</si>
  <si>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</si>
  <si>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</si>
  <si>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</si>
  <si>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</si>
  <si>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</si>
  <si>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</si>
  <si>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</si>
  <si>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</si>
  <si>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</si>
  <si>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</si>
  <si>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</si>
  <si>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</si>
  <si>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</si>
  <si>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</si>
  <si>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</si>
  <si>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</si>
  <si>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</si>
  <si>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</si>
  <si>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</si>
  <si>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</si>
  <si>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</si>
  <si>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</si>
  <si>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</si>
  <si>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</si>
  <si>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</si>
  <si>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</si>
  <si>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</si>
  <si>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</si>
  <si>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</si>
  <si>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</si>
  <si>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</si>
  <si>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</si>
  <si>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</si>
  <si>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</si>
  <si>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</si>
  <si>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</si>
  <si>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</si>
  <si>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</si>
  <si>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</si>
  <si>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</si>
  <si>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</si>
  <si>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</si>
  <si>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</si>
  <si>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</si>
  <si>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</si>
  <si>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</si>
  <si>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</si>
  <si>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</si>
  <si>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</si>
  <si>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</si>
  <si>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</si>
  <si>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</si>
  <si>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</si>
  <si>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</si>
  <si>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</si>
  <si>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</si>
  <si>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</si>
  <si>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</si>
  <si>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</si>
  <si>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</si>
  <si>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</si>
  <si>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</si>
  <si>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</si>
  <si>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</si>
  <si>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</si>
  <si>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</si>
  <si>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</si>
  <si>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</si>
  <si>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</si>
  <si>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</si>
  <si>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</si>
  <si>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</si>
  <si>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</si>
  <si>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</si>
  <si>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</si>
  <si>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</si>
  <si>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</si>
  <si>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</si>
  <si>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</si>
  <si>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</si>
  <si>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</si>
  <si>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</si>
  <si>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</si>
  <si>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</si>
  <si>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</si>
  <si>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</si>
  <si>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</si>
  <si>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</si>
  <si>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</si>
  <si>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</si>
  <si>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</si>
  <si>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</si>
  <si>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</si>
  <si>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</si>
  <si>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</si>
  <si>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</si>
  <si>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</si>
  <si>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</si>
  <si>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</si>
  <si>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</si>
  <si>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</si>
  <si>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</si>
  <si>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</si>
  <si>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</si>
  <si>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</si>
  <si>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</si>
  <si>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</si>
  <si>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</si>
  <si>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</si>
  <si>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</si>
  <si>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</si>
  <si>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</si>
  <si>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</si>
  <si>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</si>
  <si>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</si>
  <si>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</si>
  <si>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</si>
  <si>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</si>
  <si>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</si>
  <si>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</si>
  <si>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</si>
  <si>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</si>
  <si>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</si>
  <si>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</si>
  <si>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</si>
  <si>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</si>
  <si>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</si>
  <si>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</si>
  <si>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</si>
  <si>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</si>
  <si>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</si>
  <si>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</si>
  <si>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</si>
  <si>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</si>
  <si>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</si>
  <si>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</si>
  <si>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</si>
  <si>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</si>
  <si>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</si>
  <si>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</si>
  <si>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</si>
  <si>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</si>
  <si>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</si>
  <si>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</si>
  <si>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</si>
  <si>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</si>
  <si>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</si>
  <si>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</si>
  <si>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</si>
  <si>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</si>
  <si>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</si>
  <si>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</si>
  <si>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</si>
  <si>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</si>
  <si>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</si>
  <si>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</si>
  <si>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</si>
  <si>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</si>
  <si>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</si>
  <si>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</si>
  <si>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</si>
  <si>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</si>
  <si>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</si>
  <si>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</si>
  <si>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</si>
  <si>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</si>
  <si>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</si>
  <si>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</si>
  <si>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</si>
  <si>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</si>
  <si>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</si>
  <si>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</si>
  <si>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</si>
  <si>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</si>
  <si>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</si>
  <si>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</si>
  <si>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</si>
  <si>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</si>
  <si>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</si>
  <si>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</si>
  <si>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</si>
  <si>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</si>
  <si>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</si>
  <si>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</si>
  <si>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</si>
  <si>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</si>
  <si>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</si>
  <si>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</si>
  <si>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</si>
  <si>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</si>
  <si>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</si>
  <si>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</si>
  <si>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</si>
  <si>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</si>
  <si>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</si>
  <si>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</si>
  <si>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</si>
  <si>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</si>
  <si>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</si>
  <si>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</si>
  <si>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</si>
  <si>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</si>
  <si>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</si>
  <si>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</si>
  <si>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</si>
  <si>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</si>
  <si>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</si>
  <si>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</si>
  <si>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</si>
  <si>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</si>
  <si>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</si>
  <si>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</si>
  <si>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</si>
  <si>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</si>
  <si>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</si>
  <si>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</si>
  <si>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</si>
  <si>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</si>
  <si>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</si>
  <si>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</si>
  <si>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</si>
  <si>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</si>
  <si>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</si>
  <si>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</si>
  <si>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</si>
  <si>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</si>
  <si>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</si>
  <si>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</si>
  <si>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</si>
  <si>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</si>
  <si>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</si>
  <si>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</si>
  <si>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</si>
  <si>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</si>
  <si>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</si>
  <si>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</si>
  <si>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</si>
  <si>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</si>
  <si>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</si>
  <si>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</si>
  <si>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</si>
  <si>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</si>
  <si>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</si>
  <si>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</si>
  <si>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</si>
  <si>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</si>
  <si>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</si>
  <si>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</si>
  <si>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</si>
  <si>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</si>
  <si>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</si>
  <si>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</si>
  <si>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</si>
  <si>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</si>
  <si>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</si>
  <si>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</si>
  <si>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</si>
  <si>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</si>
  <si>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</si>
  <si>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</si>
  <si>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</si>
  <si>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</si>
  <si>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</si>
  <si>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</si>
  <si>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</si>
  <si>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</si>
  <si>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</si>
  <si>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</si>
  <si>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</si>
  <si>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</si>
  <si>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</si>
  <si>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</si>
  <si>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</si>
  <si>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</si>
  <si>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</si>
  <si>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</si>
  <si>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</si>
  <si>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</si>
  <si>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</si>
  <si>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</si>
  <si>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</si>
  <si>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</si>
  <si>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</si>
  <si>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</si>
  <si>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</si>
  <si>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</si>
  <si>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</si>
  <si>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</si>
  <si>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</si>
  <si>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</si>
  <si>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</si>
  <si>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</si>
  <si>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</si>
  <si>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</si>
  <si>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</si>
  <si>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</si>
  <si>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</si>
  <si>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</si>
  <si>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</si>
  <si>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</si>
  <si>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</si>
  <si>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</si>
  <si>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</si>
  <si>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</si>
  <si>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</si>
  <si>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</si>
  <si>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</si>
  <si>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</si>
  <si>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</si>
  <si>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</si>
  <si>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</si>
  <si>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</si>
  <si>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</si>
  <si>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</si>
  <si>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</si>
  <si>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</si>
  <si>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</si>
  <si>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</si>
  <si>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</si>
  <si>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</si>
  <si>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</si>
  <si>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</si>
  <si>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</si>
  <si>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</si>
  <si>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</si>
  <si>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</si>
  <si>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</si>
  <si>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</si>
  <si>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</si>
  <si>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</si>
  <si>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</si>
  <si>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</si>
  <si>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</si>
  <si>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</si>
  <si>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</si>
  <si>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</si>
  <si>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</si>
  <si>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</si>
  <si>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</si>
  <si>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</si>
  <si>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</si>
  <si>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</si>
  <si>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</si>
  <si>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</si>
  <si>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</si>
  <si>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</si>
  <si>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</si>
  <si>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</si>
  <si>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</si>
  <si>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</si>
  <si>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</si>
  <si>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</si>
  <si>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</si>
  <si>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</si>
  <si>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</si>
  <si>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</si>
  <si>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</si>
  <si>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</si>
  <si>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</si>
  <si>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</si>
  <si>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</si>
  <si>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</si>
  <si>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</si>
  <si>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</si>
  <si>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</si>
  <si>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</si>
  <si>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</si>
  <si>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</si>
  <si>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</si>
  <si>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</si>
  <si>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</si>
  <si>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</si>
  <si>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</si>
  <si>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</si>
  <si>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</si>
  <si>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</si>
  <si>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</si>
  <si>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</si>
  <si>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</si>
  <si>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</si>
  <si>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</si>
  <si>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</si>
  <si>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</si>
  <si>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</si>
  <si>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</si>
  <si>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</si>
  <si>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</si>
  <si>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</si>
  <si>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</si>
  <si>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</si>
  <si>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</si>
  <si>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</si>
  <si>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</si>
  <si>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</si>
  <si>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</si>
  <si>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</si>
  <si>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</si>
  <si>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</si>
  <si>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</si>
  <si>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</si>
  <si>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</si>
  <si>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</si>
  <si>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</si>
  <si>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</si>
  <si>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</si>
  <si>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</si>
  <si>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</si>
  <si>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</si>
  <si>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</si>
  <si>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</si>
  <si>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</si>
  <si>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</si>
  <si>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</si>
  <si>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</si>
  <si>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</si>
  <si>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</si>
  <si>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</si>
  <si>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</si>
  <si>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</si>
  <si>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</si>
  <si>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</si>
  <si>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</si>
  <si>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</si>
  <si>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</si>
  <si>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</si>
  <si>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</si>
  <si>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</si>
  <si>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</si>
  <si>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</si>
  <si>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</si>
  <si>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</si>
  <si>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</si>
  <si>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</si>
  <si>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</si>
  <si>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</si>
  <si>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</si>
  <si>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</si>
  <si>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</si>
  <si>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</si>
  <si>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</si>
  <si>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</si>
  <si>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</si>
  <si>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</si>
  <si>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</si>
  <si>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</si>
  <si>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</si>
  <si>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</si>
  <si>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</si>
  <si>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</si>
  <si>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</si>
  <si>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</si>
  <si>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</si>
  <si>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</si>
  <si>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</si>
  <si>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</si>
  <si>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</si>
  <si>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</si>
  <si>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</si>
  <si>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</si>
  <si>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</si>
  <si>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</si>
  <si>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</si>
  <si>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</si>
  <si>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</si>
  <si>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</si>
  <si>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</si>
  <si>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</si>
  <si>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</si>
  <si>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</si>
  <si>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</si>
  <si>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</si>
  <si>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</si>
  <si>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</si>
  <si>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</si>
  <si>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</si>
  <si>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</si>
  <si>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</si>
  <si>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</si>
  <si>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</si>
  <si>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</si>
  <si>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</si>
  <si>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</si>
  <si>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</si>
  <si>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</si>
  <si>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</si>
  <si>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</si>
  <si>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</si>
  <si>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</si>
  <si>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</si>
  <si>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</si>
  <si>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</si>
  <si>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</si>
  <si>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</si>
  <si>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</si>
  <si>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</si>
  <si>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</si>
  <si>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</si>
  <si>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</si>
  <si>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</si>
  <si>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</si>
  <si>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</si>
  <si>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</si>
  <si>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</si>
  <si>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</si>
  <si>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</si>
  <si>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</si>
  <si>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</si>
  <si>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</si>
  <si>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</si>
  <si>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</si>
  <si>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</si>
  <si>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</si>
  <si>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</si>
  <si>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</si>
  <si>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</si>
  <si>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</si>
  <si>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</si>
  <si>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</si>
  <si>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</si>
  <si>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</si>
  <si>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</si>
  <si>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</si>
  <si>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</si>
  <si>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</si>
  <si>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</si>
  <si>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</si>
  <si>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</si>
  <si>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</si>
  <si>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</si>
  <si>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</si>
  <si>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</si>
  <si>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</si>
  <si>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</si>
  <si>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</si>
  <si>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</si>
  <si>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</si>
  <si>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</si>
  <si>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</si>
  <si>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</si>
  <si>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</si>
  <si>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</si>
  <si>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</si>
  <si>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</si>
  <si>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</si>
  <si>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</si>
  <si>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</si>
  <si>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</si>
  <si>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</si>
  <si>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</si>
  <si>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</si>
  <si>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</si>
  <si>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</si>
  <si>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</si>
  <si>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</si>
  <si>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</si>
  <si>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</si>
  <si>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</si>
  <si>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</si>
  <si>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</si>
  <si>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</si>
  <si>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</si>
  <si>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</si>
  <si>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</si>
  <si>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</si>
  <si>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</si>
  <si>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</si>
  <si>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</si>
  <si>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</si>
  <si>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</si>
  <si>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</si>
  <si>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</si>
  <si>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</si>
  <si>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</si>
  <si>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</si>
  <si>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</si>
  <si>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</si>
  <si>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</si>
  <si>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</si>
  <si>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</si>
  <si>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</si>
  <si>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</si>
  <si>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</si>
  <si>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</si>
  <si>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</si>
  <si>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</si>
  <si>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</si>
  <si>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</si>
  <si>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</si>
  <si>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</si>
  <si>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</si>
  <si>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</si>
  <si>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</si>
  <si>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</si>
  <si>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</si>
  <si>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</si>
  <si>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</si>
  <si>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</si>
  <si>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</si>
  <si>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</si>
  <si>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</si>
  <si>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</si>
  <si>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</si>
  <si>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</si>
  <si>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</si>
  <si>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</si>
  <si>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</si>
  <si>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</si>
  <si>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</si>
  <si>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</si>
  <si>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</si>
  <si>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</si>
  <si>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</si>
  <si>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</si>
  <si>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</si>
  <si>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</si>
  <si>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</si>
  <si>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</si>
  <si>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</si>
  <si>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</si>
  <si>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</si>
  <si>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</si>
  <si>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</si>
  <si>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</si>
  <si>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</si>
  <si>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</si>
  <si>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</si>
  <si>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</si>
  <si>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</si>
  <si>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</si>
  <si>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</si>
  <si>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</si>
  <si>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</si>
  <si>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</si>
  <si>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</si>
  <si>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</si>
  <si>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</si>
  <si>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</si>
  <si>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</si>
  <si>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</si>
  <si>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</si>
  <si>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</si>
  <si>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</si>
  <si>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</si>
  <si>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</si>
  <si>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</si>
  <si>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</si>
  <si>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</si>
  <si>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</si>
  <si>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</si>
  <si>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</si>
  <si>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</si>
  <si>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</si>
  <si>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</si>
  <si>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</si>
  <si>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</si>
  <si>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</si>
  <si>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</si>
  <si>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</si>
  <si>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</si>
  <si>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</si>
  <si>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</si>
  <si>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</si>
  <si>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</si>
  <si>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</si>
  <si>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</si>
  <si>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</si>
  <si>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</si>
  <si>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</si>
  <si>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</si>
  <si>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</si>
  <si>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</si>
  <si>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</si>
  <si>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</si>
  <si>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</si>
  <si>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</si>
  <si>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</si>
  <si>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</si>
  <si>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</si>
  <si>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</si>
  <si>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</si>
  <si>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</si>
  <si>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</si>
  <si>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</si>
  <si>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</si>
  <si>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</si>
  <si>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</si>
  <si>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</si>
  <si>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</si>
  <si>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</si>
  <si>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</si>
  <si>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</si>
  <si>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</si>
  <si>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</si>
  <si>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</si>
  <si>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</si>
  <si>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</si>
  <si>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</si>
  <si>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</si>
  <si>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</si>
  <si>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</si>
  <si>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</si>
  <si>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</si>
  <si>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</si>
  <si>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</si>
  <si>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</si>
  <si>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</si>
  <si>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</si>
  <si>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</si>
  <si>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</si>
  <si>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</si>
  <si>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</si>
  <si>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</si>
  <si>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</si>
  <si>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</si>
  <si>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</si>
  <si>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</si>
  <si>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</si>
  <si>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</si>
  <si>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</si>
  <si>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</si>
  <si>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</si>
  <si>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</si>
  <si>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</si>
  <si>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</si>
  <si>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</si>
  <si>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</si>
  <si>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</si>
  <si>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</si>
  <si>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</si>
  <si>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</si>
  <si>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</si>
  <si>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</si>
  <si>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</si>
  <si>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</si>
  <si>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</si>
  <si>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</si>
  <si>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</si>
  <si>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</si>
  <si>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</si>
  <si>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</si>
  <si>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</si>
  <si>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</si>
  <si>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</si>
  <si>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</si>
  <si>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</si>
  <si>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</si>
  <si>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</si>
  <si>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</si>
  <si>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</si>
  <si>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</si>
  <si>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</si>
  <si>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</si>
  <si>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</si>
  <si>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</si>
  <si>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</si>
  <si>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</si>
  <si>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</si>
  <si>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</si>
  <si>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</si>
  <si>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</si>
  <si>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</si>
  <si>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</si>
  <si>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</si>
  <si>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</si>
  <si>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</si>
  <si>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</si>
  <si>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</si>
  <si>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</si>
  <si>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</si>
  <si>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</si>
  <si>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</si>
  <si>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</si>
  <si>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</si>
  <si>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</si>
  <si>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</si>
  <si>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</si>
  <si>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</si>
  <si>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</si>
  <si>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</si>
  <si>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</si>
  <si>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</si>
  <si>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</si>
  <si>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</si>
  <si>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</si>
  <si>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</si>
  <si>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</si>
  <si>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</si>
  <si>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</si>
  <si>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</si>
  <si>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</si>
  <si>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</si>
  <si>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</si>
  <si>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</si>
  <si>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</si>
  <si>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</si>
  <si>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</si>
  <si>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</si>
  <si>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</si>
  <si>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</si>
  <si>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</si>
  <si>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</si>
  <si>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</si>
  <si>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</si>
  <si>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</si>
  <si>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</si>
  <si>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</si>
  <si>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</si>
  <si>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</si>
  <si>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</si>
  <si>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</si>
  <si>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</si>
  <si>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</si>
  <si>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</si>
  <si>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</si>
  <si>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</si>
  <si>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</si>
  <si>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</si>
  <si>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</si>
  <si>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</si>
  <si>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</si>
  <si>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</si>
  <si>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</si>
  <si>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</si>
  <si>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</si>
  <si>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</si>
  <si>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</si>
  <si>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</si>
  <si>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</si>
  <si>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</si>
  <si>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</si>
  <si>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</si>
  <si>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</si>
  <si>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</si>
  <si>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</si>
  <si>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</si>
  <si>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</si>
  <si>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</si>
  <si>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</si>
  <si>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</si>
  <si>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</si>
  <si>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</si>
  <si>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</si>
  <si>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</si>
  <si>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</si>
  <si>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</si>
  <si>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</si>
  <si>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</si>
  <si>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</si>
  <si>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</si>
  <si>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</si>
  <si>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</si>
  <si>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</si>
  <si>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</si>
  <si>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</si>
  <si>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</si>
  <si>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</si>
  <si>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</si>
  <si>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</si>
  <si>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</si>
  <si>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</si>
  <si>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</si>
  <si>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</si>
  <si>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</si>
  <si>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</si>
  <si>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</si>
  <si>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</si>
  <si>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</si>
  <si>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</si>
  <si>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</si>
  <si>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</si>
  <si>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</si>
  <si>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</si>
  <si>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</si>
  <si>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</si>
  <si>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</si>
  <si>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</si>
  <si>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</si>
  <si>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</si>
  <si>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</si>
  <si>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</si>
  <si>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</si>
  <si>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</si>
  <si>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</si>
  <si>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</si>
  <si>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</si>
  <si>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</si>
  <si>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</si>
  <si>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</si>
  <si>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</si>
  <si>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</si>
  <si>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</si>
  <si>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</si>
  <si>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</si>
  <si>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</si>
  <si>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</si>
  <si>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</si>
  <si>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</si>
  <si>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</si>
  <si>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</si>
  <si>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</si>
  <si>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</si>
  <si>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</si>
  <si>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</si>
  <si>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</si>
  <si>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</si>
  <si>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</si>
  <si>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</si>
  <si>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</si>
  <si>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</si>
  <si>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</si>
  <si>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</si>
  <si>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</si>
  <si>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</si>
  <si>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</si>
  <si>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</si>
  <si>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</si>
  <si>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</si>
  <si>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</si>
  <si>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</si>
  <si>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</si>
  <si>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</si>
  <si>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</si>
  <si>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</si>
  <si>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</si>
  <si>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</si>
  <si>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</si>
  <si>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</si>
  <si>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</si>
  <si>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</si>
  <si>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</si>
  <si>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</si>
  <si>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</si>
  <si>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</si>
  <si>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</si>
  <si>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</si>
  <si>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</si>
  <si>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</si>
  <si>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</si>
  <si>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</si>
  <si>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</si>
  <si>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</si>
  <si>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</si>
  <si>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</si>
  <si>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</si>
  <si>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</si>
  <si>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</si>
  <si>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</si>
  <si>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</si>
  <si>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</si>
  <si>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</si>
  <si>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</si>
  <si>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</si>
  <si>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</si>
  <si>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</si>
  <si>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</si>
  <si>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</si>
  <si>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</si>
  <si>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</si>
  <si>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</si>
  <si>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</si>
  <si>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</si>
  <si>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</si>
  <si>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</si>
  <si>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</si>
  <si>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</si>
  <si>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</si>
  <si>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</si>
  <si>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</si>
  <si>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</si>
  <si>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</si>
  <si>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</si>
  <si>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</si>
  <si>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</si>
  <si>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</si>
  <si>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</si>
  <si>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</si>
  <si>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</si>
  <si>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</si>
  <si>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</si>
  <si>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</si>
  <si>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</si>
  <si>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</si>
  <si>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</si>
  <si>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</si>
  <si>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</si>
  <si>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</si>
  <si>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</si>
  <si>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</si>
  <si>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</si>
  <si>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</si>
  <si>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</si>
  <si>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</si>
  <si>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</si>
  <si>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</si>
  <si>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</si>
  <si>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</si>
  <si>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</si>
  <si>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</si>
  <si>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</si>
  <si>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</si>
  <si>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</si>
  <si>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</si>
  <si>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</si>
  <si>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</si>
  <si>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</si>
  <si>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</si>
  <si>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</si>
  <si>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</si>
  <si>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</si>
  <si>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</si>
  <si>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</si>
  <si>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</si>
  <si>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</si>
  <si>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</si>
  <si>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</si>
  <si>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</si>
  <si>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</si>
  <si>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</si>
  <si>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</si>
  <si>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</si>
  <si>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</si>
  <si>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</si>
  <si>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</si>
  <si>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</si>
  <si>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</si>
  <si>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</si>
  <si>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</si>
  <si>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</si>
  <si>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</si>
  <si>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</si>
  <si>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</si>
  <si>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</si>
  <si>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</si>
  <si>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</si>
  <si>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</si>
  <si>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</si>
  <si>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</si>
  <si>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</si>
  <si>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</si>
  <si>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</si>
  <si>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</si>
  <si>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</si>
  <si>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</si>
  <si>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</si>
  <si>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</si>
  <si>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</si>
  <si>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</si>
  <si>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</si>
  <si>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</si>
  <si>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</si>
  <si>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</si>
  <si>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</si>
  <si>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</si>
  <si>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</si>
  <si>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</si>
  <si>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</si>
  <si>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</si>
  <si>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</si>
  <si>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</si>
  <si>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</si>
  <si>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</si>
  <si>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</si>
  <si>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</si>
  <si>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</si>
  <si>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</si>
  <si>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</si>
  <si>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</si>
  <si>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</si>
  <si>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</si>
  <si>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</si>
  <si>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</si>
  <si>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</si>
  <si>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</si>
  <si>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</si>
  <si>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</si>
  <si>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</si>
  <si>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</si>
  <si>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</si>
  <si>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</si>
  <si>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</si>
  <si>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</si>
  <si>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</si>
  <si>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</si>
  <si>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</si>
  <si>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</si>
  <si>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</si>
  <si>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</si>
  <si>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</si>
  <si>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</si>
  <si>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</si>
  <si>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</si>
  <si>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</si>
  <si>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</si>
  <si>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</si>
  <si>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</si>
  <si>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</si>
  <si>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</si>
  <si>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</si>
  <si>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</si>
  <si>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</si>
  <si>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</si>
  <si>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</si>
  <si>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</si>
  <si>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</si>
  <si>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</si>
  <si>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</si>
  <si>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</si>
  <si>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</si>
  <si>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</si>
  <si>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</si>
  <si>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</si>
  <si>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</si>
  <si>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</si>
  <si>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</si>
  <si>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</si>
  <si>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</si>
  <si>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</si>
  <si>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</si>
  <si>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</si>
  <si>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</si>
  <si>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</si>
  <si>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</si>
  <si>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</si>
  <si>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</si>
  <si>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</si>
  <si>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</si>
  <si>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</si>
  <si>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</si>
  <si>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</si>
  <si>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</si>
  <si>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</si>
  <si>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</si>
  <si>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</si>
  <si>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</si>
  <si>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</si>
  <si>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</si>
  <si>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</si>
  <si>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</si>
  <si>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</si>
  <si>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</si>
  <si>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</si>
  <si>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</si>
  <si>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</si>
  <si>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</si>
  <si>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</si>
  <si>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</si>
  <si>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</si>
  <si>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</si>
  <si>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</si>
  <si>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</si>
  <si>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</si>
  <si>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</si>
  <si>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</si>
  <si>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</si>
  <si>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</si>
  <si>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</si>
  <si>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</si>
  <si>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</si>
  <si>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</si>
  <si>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</si>
  <si>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</si>
  <si>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</si>
  <si>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</si>
  <si>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</si>
  <si>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</si>
  <si>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</si>
  <si>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</si>
  <si>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</si>
  <si>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</si>
  <si>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</si>
  <si>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</si>
  <si>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</si>
  <si>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</si>
  <si>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</si>
  <si>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</si>
  <si>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</si>
  <si>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</si>
  <si>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</si>
  <si>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</si>
  <si>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</si>
  <si>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</si>
  <si>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</si>
  <si>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</si>
  <si>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</si>
  <si>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</si>
  <si>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</si>
  <si>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</si>
  <si>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</si>
  <si>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</si>
  <si>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</si>
  <si>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</si>
  <si>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</si>
  <si>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</si>
  <si>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</si>
  <si>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</si>
  <si>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</si>
  <si>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</si>
  <si>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</si>
  <si>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</si>
  <si>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</si>
  <si>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</si>
  <si>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</si>
  <si>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</si>
  <si>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</si>
  <si>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</si>
  <si>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</si>
  <si>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</si>
  <si>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</si>
  <si>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</si>
  <si>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</si>
  <si>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</si>
  <si>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</si>
  <si>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</si>
  <si>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</si>
  <si>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</si>
  <si>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</si>
  <si>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</si>
  <si>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</si>
  <si>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</si>
  <si>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</si>
  <si>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</si>
  <si>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</si>
  <si>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</si>
  <si>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</si>
  <si>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</si>
  <si>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</si>
  <si>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</si>
  <si>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</si>
  <si>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</si>
  <si>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</si>
  <si>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</si>
  <si>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</si>
  <si>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</si>
  <si>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</si>
  <si>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</si>
  <si>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</si>
  <si>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</si>
  <si>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</si>
  <si>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</si>
  <si>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</si>
  <si>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</si>
  <si>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</si>
  <si>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</si>
  <si>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</si>
  <si>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</si>
  <si>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</si>
  <si>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</si>
  <si>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</si>
  <si>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</si>
  <si>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</si>
  <si>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</si>
  <si>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</si>
  <si>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</si>
  <si>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</si>
  <si>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</si>
  <si>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</si>
  <si>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</si>
  <si>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</si>
  <si>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</si>
  <si>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</si>
  <si>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</si>
  <si>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</si>
  <si>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</si>
  <si>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</si>
  <si>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</si>
  <si>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</si>
  <si>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</si>
  <si>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</si>
  <si>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</si>
  <si>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</si>
  <si>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</si>
  <si>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</si>
  <si>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</si>
  <si>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</si>
  <si>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</si>
  <si>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</si>
  <si>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</si>
  <si>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</si>
  <si>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</si>
  <si>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</si>
  <si>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</si>
  <si>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</si>
  <si>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</si>
  <si>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</si>
  <si>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</si>
  <si>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</si>
  <si>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</si>
  <si>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</si>
  <si>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</si>
  <si>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</si>
  <si>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</si>
  <si>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</si>
  <si>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</si>
  <si>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</si>
  <si>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</si>
  <si>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</si>
  <si>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</si>
  <si>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</si>
  <si>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</si>
  <si>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</si>
  <si>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</si>
  <si>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</si>
  <si>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</si>
  <si>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</si>
  <si>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</si>
  <si>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</si>
  <si>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</si>
  <si>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</si>
  <si>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</si>
  <si>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</si>
  <si>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</si>
  <si>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</si>
  <si>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</si>
  <si>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</si>
  <si>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</si>
  <si>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</si>
  <si>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</si>
  <si>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</si>
  <si>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</si>
  <si>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</si>
  <si>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</si>
  <si>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</si>
  <si>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</si>
  <si>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</si>
  <si>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</si>
  <si>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</si>
  <si>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</si>
  <si>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</si>
  <si>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</si>
  <si>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</si>
  <si>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</si>
  <si>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</si>
  <si>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</si>
  <si>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</si>
  <si>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</si>
  <si>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</si>
  <si>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</si>
  <si>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</si>
  <si>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</si>
  <si>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</si>
  <si>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</si>
  <si>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</si>
  <si>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</si>
  <si>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</si>
  <si>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</si>
  <si>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</si>
  <si>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</si>
  <si>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</si>
  <si>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</si>
  <si>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</si>
  <si>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</si>
  <si>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</si>
  <si>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</si>
  <si>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</si>
  <si>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</si>
  <si>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</si>
  <si>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</si>
  <si>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</si>
  <si>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01/01/2023 - 05/20/2026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</si>
  <si>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</si>
  <si>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</si>
  <si>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</si>
  <si>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</si>
  <si>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</si>
  <si>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</si>
  <si>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</si>
  <si>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</si>
  <si>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</si>
  <si>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r>
      <t xml:space="preserve">WARN REPORT - </t>
    </r>
    <r>
      <rPr>
        <b/>
        <sz val="12"/>
        <rFont val="Calibri"/>
        <family val="2"/>
        <scheme val="minor"/>
      </rPr>
      <t>07/01/25 to 05/20/2026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I1439.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</si>
</sst>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439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6640625" defaultRowHeight="14.4" x14ac:dyDescent="0.3"/>
  <cols>
    <col min="1" max="1" width="74" style="3" bestFit="1" customWidth="1"/>
  </cols>
  <sheetData>
    <row r="1" spans="1:1" ht="129.6" x14ac:dyDescent="0.3">
      <c r="A1" s="10" t="s">
        <v>28</v>
      </c>
    </row>
    <row r="2" spans="1:1" ht="21" x14ac:dyDescent="0.4">
      <c r="A2" s="12" t="s">
        <v>20</v>
      </c>
    </row>
    <row r="3" spans="1:1" x14ac:dyDescent="0.3">
      <c r="A3" s="13" t="s">
        <v>18</v>
      </c>
    </row>
    <row r="4" spans="1:1" x14ac:dyDescent="0.3">
      <c r="A4" s="13" t="s">
        <v>19</v>
      </c>
    </row>
    <row r="5" spans="1:1" x14ac:dyDescent="0.3">
      <c r="A5" s="13" t="s">
        <v>23</v>
      </c>
    </row>
    <row r="6" spans="1:1" x14ac:dyDescent="0.3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6640625" defaultRowHeight="14.4" x14ac:dyDescent="0.3"/>
  <cols>
    <col min="1" max="1" width="29.5546875" style="3" customWidth="1"/>
    <col min="2" max="2" width="6.44140625" style="3" bestFit="1" customWidth="1"/>
  </cols>
  <sheetData>
    <row r="1" spans="1:2" ht="75.599999999999994" x14ac:dyDescent="0.3">
      <c r="A1" s="10" t="s">
        <v>21</v>
      </c>
    </row>
    <row r="2" spans="1:2" x14ac:dyDescent="0.3">
      <c r="A2" s="14" t="s">
        <v>16</v>
      </c>
      <c r="B2" s="15" t="s">
        <v>15</v>
      </c>
    </row>
    <row r="3" spans="1:2" x14ac:dyDescent="0.3">
      <c r="A3" s="2" t="s">
        <v>17</v>
      </c>
      <c r="B3" s="11">
        <f>SUM('Detailed WARN Report '!G:G)</f>
        <v>73323</v>
      </c>
    </row>
    <row r="4" spans="1:2" x14ac:dyDescent="0.3">
      <c r="A4" s="2" t="s">
        <v>9</v>
      </c>
      <c r="B4" s="11">
        <f>COUNTIF('Detailed WARN Report '!F:F,"Layoff Permanent")</f>
        <v>949</v>
      </c>
    </row>
    <row r="5" spans="1:2" x14ac:dyDescent="0.3">
      <c r="A5" s="2" t="s">
        <v>10</v>
      </c>
      <c r="B5" s="11">
        <f>COUNTIF('Detailed WARN Report '!F:F,"Layoff Temporary")</f>
        <v>78</v>
      </c>
    </row>
    <row r="6" spans="1:2" x14ac:dyDescent="0.3">
      <c r="A6" s="2" t="s">
        <v>11</v>
      </c>
      <c r="B6" s="11">
        <f>COUNTIF('Detailed WARN Report '!F:F,"Layoff Not known at this time")</f>
        <v>11</v>
      </c>
    </row>
    <row r="7" spans="1:2" x14ac:dyDescent="0.3">
      <c r="A7" s="2" t="s">
        <v>12</v>
      </c>
      <c r="B7" s="11">
        <f>COUNTIF('Detailed WARN Report '!F:F,"Closure Permanent")</f>
        <v>380</v>
      </c>
    </row>
    <row r="8" spans="1:2" x14ac:dyDescent="0.3">
      <c r="A8" s="2" t="s">
        <v>13</v>
      </c>
      <c r="B8" s="11">
        <f>COUNTIF('Detailed WARN Report '!F:F,"Closure Temporary")</f>
        <v>13</v>
      </c>
    </row>
    <row r="9" spans="1:2" x14ac:dyDescent="0.3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439"/>
  <sheetViews>
    <sheetView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8.6640625" style="8" bestFit="1" customWidth="1"/>
    <col min="3" max="3" width="9.88671875" style="8" bestFit="1" customWidth="1"/>
    <col min="4" max="4" width="8.44140625" style="8" bestFit="1" customWidth="1"/>
    <col min="5" max="5" width="17.109375" style="10" customWidth="1"/>
    <col min="6" max="6" width="22.33203125" style="3" customWidth="1"/>
    <col min="7" max="7" width="14.33203125" style="3" customWidth="1"/>
    <col min="8" max="8" width="48.88671875" style="3" customWidth="1"/>
    <col min="9" max="9" width="33.109375" style="3" customWidth="1"/>
    <col min="10" max="10" width="22.5546875" customWidth="1"/>
    <col min="11" max="11" width="13.109375" customWidth="1"/>
    <col min="12" max="12" width="12.6640625" customWidth="1"/>
    <col min="13" max="13" width="11.88671875" customWidth="1"/>
    <col min="14" max="14" width="15" customWidth="1"/>
  </cols>
  <sheetData>
    <row r="1" spans="1:9" ht="99.6" x14ac:dyDescent="0.3">
      <c r="A1" s="16" t="s">
        <v>2461</v>
      </c>
      <c r="E1" s="3"/>
    </row>
    <row r="2" spans="1:9" ht="24.6" x14ac:dyDescent="0.3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ht="20.399999999999999" x14ac:dyDescent="0.3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ht="20.399999999999999" x14ac:dyDescent="0.3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x14ac:dyDescent="0.3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ht="40.799999999999997" x14ac:dyDescent="0.3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x14ac:dyDescent="0.3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ht="30.6" x14ac:dyDescent="0.3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ht="30.6" x14ac:dyDescent="0.3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ht="30.6" x14ac:dyDescent="0.3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x14ac:dyDescent="0.3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x14ac:dyDescent="0.3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x14ac:dyDescent="0.3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x14ac:dyDescent="0.3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x14ac:dyDescent="0.3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x14ac:dyDescent="0.3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ht="20.399999999999999" x14ac:dyDescent="0.3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ht="40.799999999999997" x14ac:dyDescent="0.3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ht="20.399999999999999" x14ac:dyDescent="0.3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ht="20.399999999999999" x14ac:dyDescent="0.3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ht="40.799999999999997" x14ac:dyDescent="0.3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ht="20.399999999999999" x14ac:dyDescent="0.3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ht="20.399999999999999" x14ac:dyDescent="0.3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3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x14ac:dyDescent="0.3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x14ac:dyDescent="0.3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ht="30.6" x14ac:dyDescent="0.3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ht="20.399999999999999" x14ac:dyDescent="0.3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x14ac:dyDescent="0.3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x14ac:dyDescent="0.3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x14ac:dyDescent="0.3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x14ac:dyDescent="0.3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x14ac:dyDescent="0.3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3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ht="20.399999999999999" x14ac:dyDescent="0.3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x14ac:dyDescent="0.3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3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ht="20.399999999999999" x14ac:dyDescent="0.3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ht="20.399999999999999" x14ac:dyDescent="0.3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ht="20.399999999999999" x14ac:dyDescent="0.3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ht="20.399999999999999" x14ac:dyDescent="0.3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3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x14ac:dyDescent="0.3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3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ht="20.399999999999999" x14ac:dyDescent="0.3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ht="20.399999999999999" x14ac:dyDescent="0.3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ht="20.399999999999999" x14ac:dyDescent="0.3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ht="20.399999999999999" x14ac:dyDescent="0.3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ht="20.399999999999999" x14ac:dyDescent="0.3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ht="20.399999999999999" x14ac:dyDescent="0.3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ht="20.399999999999999" x14ac:dyDescent="0.3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ht="20.399999999999999" x14ac:dyDescent="0.3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ht="20.399999999999999" x14ac:dyDescent="0.3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ht="20.399999999999999" x14ac:dyDescent="0.3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ht="20.399999999999999" x14ac:dyDescent="0.3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ht="20.399999999999999" x14ac:dyDescent="0.3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ht="20.399999999999999" x14ac:dyDescent="0.3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ht="20.399999999999999" x14ac:dyDescent="0.3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ht="20.399999999999999" x14ac:dyDescent="0.3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ht="20.399999999999999" x14ac:dyDescent="0.3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ht="20.399999999999999" x14ac:dyDescent="0.3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ht="20.399999999999999" x14ac:dyDescent="0.3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ht="20.399999999999999" x14ac:dyDescent="0.3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ht="20.399999999999999" x14ac:dyDescent="0.3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ht="20.399999999999999" x14ac:dyDescent="0.3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ht="20.399999999999999" x14ac:dyDescent="0.3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ht="20.399999999999999" x14ac:dyDescent="0.3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ht="20.399999999999999" x14ac:dyDescent="0.3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x14ac:dyDescent="0.3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x14ac:dyDescent="0.3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ht="30.6" x14ac:dyDescent="0.3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ht="20.399999999999999" x14ac:dyDescent="0.3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x14ac:dyDescent="0.3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x14ac:dyDescent="0.3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x14ac:dyDescent="0.3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x14ac:dyDescent="0.3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x14ac:dyDescent="0.3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3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3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ht="20.399999999999999" x14ac:dyDescent="0.3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ht="20.399999999999999" x14ac:dyDescent="0.3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ht="20.399999999999999" x14ac:dyDescent="0.3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ht="20.399999999999999" x14ac:dyDescent="0.3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ht="20.399999999999999" x14ac:dyDescent="0.3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ht="20.399999999999999" x14ac:dyDescent="0.3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ht="20.399999999999999" x14ac:dyDescent="0.3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ht="20.399999999999999" x14ac:dyDescent="0.3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ht="20.399999999999999" x14ac:dyDescent="0.3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ht="20.399999999999999" x14ac:dyDescent="0.3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ht="20.399999999999999" x14ac:dyDescent="0.3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3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ht="20.399999999999999" x14ac:dyDescent="0.3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ht="30.6" x14ac:dyDescent="0.3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3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3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3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3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3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3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3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3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3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ht="20.399999999999999" x14ac:dyDescent="0.3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3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3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ht="20.399999999999999" x14ac:dyDescent="0.3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3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3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3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3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3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3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3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3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3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3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3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3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3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3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3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3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3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3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3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ht="20.399999999999999" x14ac:dyDescent="0.3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ht="20.399999999999999" x14ac:dyDescent="0.3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3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ht="20.399999999999999" x14ac:dyDescent="0.3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3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ht="20.399999999999999" x14ac:dyDescent="0.3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3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ht="20.399999999999999" x14ac:dyDescent="0.3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ht="20.399999999999999" x14ac:dyDescent="0.3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ht="20.399999999999999" x14ac:dyDescent="0.3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3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ht="20.399999999999999" x14ac:dyDescent="0.3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3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ht="20.399999999999999" x14ac:dyDescent="0.3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ht="30.6" x14ac:dyDescent="0.3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3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ht="20.399999999999999" x14ac:dyDescent="0.3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ht="20.399999999999999" x14ac:dyDescent="0.3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ht="20.399999999999999" x14ac:dyDescent="0.3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ht="20.399999999999999" x14ac:dyDescent="0.3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ht="20.399999999999999" x14ac:dyDescent="0.3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ht="20.399999999999999" x14ac:dyDescent="0.3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ht="30.6" x14ac:dyDescent="0.3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ht="20.399999999999999" x14ac:dyDescent="0.3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ht="20.399999999999999" x14ac:dyDescent="0.3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ht="20.399999999999999" x14ac:dyDescent="0.3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ht="20.399999999999999" x14ac:dyDescent="0.3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ht="20.399999999999999" x14ac:dyDescent="0.3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3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ht="20.399999999999999" x14ac:dyDescent="0.3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ht="20.399999999999999" x14ac:dyDescent="0.3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ht="20.399999999999999" x14ac:dyDescent="0.3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ht="20.399999999999999" x14ac:dyDescent="0.3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ht="20.399999999999999" x14ac:dyDescent="0.3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3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ht="20.399999999999999" x14ac:dyDescent="0.3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ht="20.399999999999999" x14ac:dyDescent="0.3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ht="20.399999999999999" x14ac:dyDescent="0.3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ht="20.399999999999999" x14ac:dyDescent="0.3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ht="20.399999999999999" x14ac:dyDescent="0.3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ht="20.399999999999999" x14ac:dyDescent="0.3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ht="20.399999999999999" x14ac:dyDescent="0.3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ht="20.399999999999999" x14ac:dyDescent="0.3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ht="20.399999999999999" x14ac:dyDescent="0.3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ht="20.399999999999999" x14ac:dyDescent="0.3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3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ht="20.399999999999999" x14ac:dyDescent="0.3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3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3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3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ht="30.6" x14ac:dyDescent="0.3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3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ht="20.399999999999999" x14ac:dyDescent="0.3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ht="20.399999999999999" x14ac:dyDescent="0.3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ht="30.6" x14ac:dyDescent="0.3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ht="20.399999999999999" x14ac:dyDescent="0.3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ht="20.399999999999999" x14ac:dyDescent="0.3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ht="20.399999999999999" x14ac:dyDescent="0.3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ht="20.399999999999999" x14ac:dyDescent="0.3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ht="20.399999999999999" x14ac:dyDescent="0.3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ht="20.399999999999999" x14ac:dyDescent="0.3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ht="20.399999999999999" x14ac:dyDescent="0.3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ht="20.399999999999999" x14ac:dyDescent="0.3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3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ht="20.399999999999999" x14ac:dyDescent="0.3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x14ac:dyDescent="0.3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ht="20.399999999999999" x14ac:dyDescent="0.3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ht="20.399999999999999" x14ac:dyDescent="0.3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ht="20.399999999999999" x14ac:dyDescent="0.3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3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ht="20.399999999999999" x14ac:dyDescent="0.3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ht="20.399999999999999" x14ac:dyDescent="0.3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ht="20.399999999999999" x14ac:dyDescent="0.3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ht="20.399999999999999" x14ac:dyDescent="0.3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ht="20.399999999999999" x14ac:dyDescent="0.3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x14ac:dyDescent="0.3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x14ac:dyDescent="0.3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3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x14ac:dyDescent="0.3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3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3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ht="30.6" x14ac:dyDescent="0.3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ht="20.399999999999999" x14ac:dyDescent="0.3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3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x14ac:dyDescent="0.3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ht="20.399999999999999" x14ac:dyDescent="0.3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ht="20.399999999999999" x14ac:dyDescent="0.3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3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ht="20.399999999999999" x14ac:dyDescent="0.3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ht="20.399999999999999" x14ac:dyDescent="0.3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ht="20.399999999999999" x14ac:dyDescent="0.3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x14ac:dyDescent="0.3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x14ac:dyDescent="0.3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x14ac:dyDescent="0.3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ht="20.399999999999999" x14ac:dyDescent="0.3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x14ac:dyDescent="0.3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3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x14ac:dyDescent="0.3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ht="20.399999999999999" x14ac:dyDescent="0.3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ht="20.399999999999999" x14ac:dyDescent="0.3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ht="20.399999999999999" x14ac:dyDescent="0.3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ht="20.399999999999999" x14ac:dyDescent="0.3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ht="20.399999999999999" x14ac:dyDescent="0.3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ht="20.399999999999999" x14ac:dyDescent="0.3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3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ht="20.399999999999999" x14ac:dyDescent="0.3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ht="20.399999999999999" x14ac:dyDescent="0.3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ht="20.399999999999999" x14ac:dyDescent="0.3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ht="40.799999999999997" x14ac:dyDescent="0.3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x14ac:dyDescent="0.3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3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3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3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ht="20.399999999999999" x14ac:dyDescent="0.3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3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3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3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ht="20.399999999999999" x14ac:dyDescent="0.3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ht="20.399999999999999" x14ac:dyDescent="0.3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ht="20.399999999999999" x14ac:dyDescent="0.3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ht="20.399999999999999" x14ac:dyDescent="0.3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3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x14ac:dyDescent="0.3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ht="20.399999999999999" x14ac:dyDescent="0.3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ht="20.399999999999999" x14ac:dyDescent="0.3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ht="20.399999999999999" x14ac:dyDescent="0.3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x14ac:dyDescent="0.3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x14ac:dyDescent="0.3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ht="20.399999999999999" x14ac:dyDescent="0.3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x14ac:dyDescent="0.3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3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ht="30.6" x14ac:dyDescent="0.3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ht="30.6" x14ac:dyDescent="0.3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ht="20.399999999999999" x14ac:dyDescent="0.3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ht="20.399999999999999" x14ac:dyDescent="0.3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ht="20.399999999999999" x14ac:dyDescent="0.3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ht="20.399999999999999" x14ac:dyDescent="0.3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ht="20.399999999999999" x14ac:dyDescent="0.3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ht="20.399999999999999" x14ac:dyDescent="0.3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ht="20.399999999999999" x14ac:dyDescent="0.3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ht="20.399999999999999" x14ac:dyDescent="0.3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ht="20.399999999999999" x14ac:dyDescent="0.3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ht="20.399999999999999" x14ac:dyDescent="0.3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3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3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3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3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ht="20.399999999999999" x14ac:dyDescent="0.3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3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ht="20.399999999999999" x14ac:dyDescent="0.3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3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x14ac:dyDescent="0.3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x14ac:dyDescent="0.3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x14ac:dyDescent="0.3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x14ac:dyDescent="0.3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x14ac:dyDescent="0.3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x14ac:dyDescent="0.3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x14ac:dyDescent="0.3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x14ac:dyDescent="0.3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x14ac:dyDescent="0.3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x14ac:dyDescent="0.3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x14ac:dyDescent="0.3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x14ac:dyDescent="0.3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x14ac:dyDescent="0.3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x14ac:dyDescent="0.3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x14ac:dyDescent="0.3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x14ac:dyDescent="0.3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x14ac:dyDescent="0.3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x14ac:dyDescent="0.3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3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x14ac:dyDescent="0.3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3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3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3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ht="20.399999999999999" x14ac:dyDescent="0.3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3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3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ht="20.399999999999999" x14ac:dyDescent="0.3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x14ac:dyDescent="0.3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x14ac:dyDescent="0.3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x14ac:dyDescent="0.3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x14ac:dyDescent="0.3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3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3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3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ht="20.399999999999999" x14ac:dyDescent="0.3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ht="20.399999999999999" x14ac:dyDescent="0.3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ht="20.399999999999999" x14ac:dyDescent="0.3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ht="20.399999999999999" x14ac:dyDescent="0.3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ht="20.399999999999999" x14ac:dyDescent="0.3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ht="30.6" x14ac:dyDescent="0.3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ht="30.6" x14ac:dyDescent="0.3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3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ht="20.399999999999999" x14ac:dyDescent="0.3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ht="20.399999999999999" x14ac:dyDescent="0.3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ht="20.399999999999999" x14ac:dyDescent="0.3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ht="30.6" x14ac:dyDescent="0.3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ht="20.399999999999999" x14ac:dyDescent="0.3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ht="20.399999999999999" x14ac:dyDescent="0.3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ht="20.399999999999999" x14ac:dyDescent="0.3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ht="20.399999999999999" x14ac:dyDescent="0.3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x14ac:dyDescent="0.3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ht="20.399999999999999" x14ac:dyDescent="0.3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ht="20.399999999999999" x14ac:dyDescent="0.3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ht="20.399999999999999" x14ac:dyDescent="0.3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ht="20.399999999999999" x14ac:dyDescent="0.3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ht="30.6" x14ac:dyDescent="0.3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ht="20.399999999999999" x14ac:dyDescent="0.3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40.799999999999997" x14ac:dyDescent="0.3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ht="20.399999999999999" x14ac:dyDescent="0.3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3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ht="20.399999999999999" x14ac:dyDescent="0.3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ht="20.399999999999999" x14ac:dyDescent="0.3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ht="20.399999999999999" x14ac:dyDescent="0.3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ht="20.399999999999999" x14ac:dyDescent="0.3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ht="20.399999999999999" x14ac:dyDescent="0.3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ht="20.399999999999999" x14ac:dyDescent="0.3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ht="30.6" x14ac:dyDescent="0.3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ht="20.399999999999999" x14ac:dyDescent="0.3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3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3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3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ht="20.399999999999999" x14ac:dyDescent="0.3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ht="20.399999999999999" x14ac:dyDescent="0.3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ht="20.399999999999999" x14ac:dyDescent="0.3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ht="20.399999999999999" x14ac:dyDescent="0.3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3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3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3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ht="40.799999999999997" x14ac:dyDescent="0.3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ht="40.799999999999997" x14ac:dyDescent="0.3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40.799999999999997" x14ac:dyDescent="0.3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ht="30.6" x14ac:dyDescent="0.3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ht="40.799999999999997" x14ac:dyDescent="0.3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ht="40.799999999999997" x14ac:dyDescent="0.3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ht="30.6" x14ac:dyDescent="0.3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ht="40.799999999999997" x14ac:dyDescent="0.3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ht="30.6" x14ac:dyDescent="0.3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3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ht="20.399999999999999" x14ac:dyDescent="0.3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3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x14ac:dyDescent="0.3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3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ht="20.399999999999999" x14ac:dyDescent="0.3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ht="20.399999999999999" x14ac:dyDescent="0.3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x14ac:dyDescent="0.3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x14ac:dyDescent="0.3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x14ac:dyDescent="0.3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x14ac:dyDescent="0.3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x14ac:dyDescent="0.3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x14ac:dyDescent="0.3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x14ac:dyDescent="0.3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x14ac:dyDescent="0.3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x14ac:dyDescent="0.3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x14ac:dyDescent="0.3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x14ac:dyDescent="0.3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x14ac:dyDescent="0.3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ht="20.399999999999999" x14ac:dyDescent="0.3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ht="20.399999999999999" x14ac:dyDescent="0.3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x14ac:dyDescent="0.3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x14ac:dyDescent="0.3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ht="20.399999999999999" x14ac:dyDescent="0.3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ht="20.399999999999999" x14ac:dyDescent="0.3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ht="20.399999999999999" x14ac:dyDescent="0.3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3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x14ac:dyDescent="0.3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ht="20.399999999999999" x14ac:dyDescent="0.3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x14ac:dyDescent="0.3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ht="20.399999999999999" x14ac:dyDescent="0.3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3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ht="20.399999999999999" x14ac:dyDescent="0.3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ht="20.399999999999999" x14ac:dyDescent="0.3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ht="20.399999999999999" x14ac:dyDescent="0.3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ht="20.399999999999999" x14ac:dyDescent="0.3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ht="20.399999999999999" x14ac:dyDescent="0.3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ht="20.399999999999999" x14ac:dyDescent="0.3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ht="20.399999999999999" x14ac:dyDescent="0.3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ht="20.399999999999999" x14ac:dyDescent="0.3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ht="20.399999999999999" x14ac:dyDescent="0.3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3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3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x14ac:dyDescent="0.3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3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ht="20.399999999999999" x14ac:dyDescent="0.3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ht="20.399999999999999" x14ac:dyDescent="0.3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x14ac:dyDescent="0.3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x14ac:dyDescent="0.3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ht="20.399999999999999" x14ac:dyDescent="0.3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x14ac:dyDescent="0.3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ht="20.399999999999999" x14ac:dyDescent="0.3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ht="20.399999999999999" x14ac:dyDescent="0.3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ht="20.399999999999999" x14ac:dyDescent="0.3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ht="20.399999999999999" x14ac:dyDescent="0.3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ht="20.399999999999999" x14ac:dyDescent="0.3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ht="20.399999999999999" x14ac:dyDescent="0.3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ht="20.399999999999999" x14ac:dyDescent="0.3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ht="20.399999999999999" x14ac:dyDescent="0.3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ht="20.399999999999999" x14ac:dyDescent="0.3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ht="20.399999999999999" x14ac:dyDescent="0.3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ht="20.399999999999999" x14ac:dyDescent="0.3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ht="20.399999999999999" x14ac:dyDescent="0.3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ht="20.399999999999999" x14ac:dyDescent="0.3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ht="20.399999999999999" x14ac:dyDescent="0.3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ht="20.399999999999999" x14ac:dyDescent="0.3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ht="20.399999999999999" x14ac:dyDescent="0.3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ht="20.399999999999999" x14ac:dyDescent="0.3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ht="20.399999999999999" x14ac:dyDescent="0.3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ht="30.6" x14ac:dyDescent="0.3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ht="30.6" x14ac:dyDescent="0.3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ht="30.6" x14ac:dyDescent="0.3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ht="20.399999999999999" x14ac:dyDescent="0.3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ht="20.399999999999999" x14ac:dyDescent="0.3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3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x14ac:dyDescent="0.3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x14ac:dyDescent="0.3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x14ac:dyDescent="0.3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ht="20.399999999999999" x14ac:dyDescent="0.3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ht="20.399999999999999" x14ac:dyDescent="0.3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ht="20.399999999999999" x14ac:dyDescent="0.3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ht="20.399999999999999" x14ac:dyDescent="0.3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ht="20.399999999999999" x14ac:dyDescent="0.3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ht="20.399999999999999" x14ac:dyDescent="0.3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ht="20.399999999999999" x14ac:dyDescent="0.3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ht="20.399999999999999" x14ac:dyDescent="0.3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ht="20.399999999999999" x14ac:dyDescent="0.3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ht="20.399999999999999" x14ac:dyDescent="0.3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ht="40.799999999999997" x14ac:dyDescent="0.3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ht="40.799999999999997" x14ac:dyDescent="0.3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ht="40.799999999999997" x14ac:dyDescent="0.3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ht="40.799999999999997" x14ac:dyDescent="0.3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ht="40.799999999999997" x14ac:dyDescent="0.3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ht="40.799999999999997" x14ac:dyDescent="0.3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ht="40.799999999999997" x14ac:dyDescent="0.3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ht="40.799999999999997" x14ac:dyDescent="0.3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ht="40.799999999999997" x14ac:dyDescent="0.3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ht="40.799999999999997" x14ac:dyDescent="0.3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3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3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x14ac:dyDescent="0.3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ht="20.399999999999999" x14ac:dyDescent="0.3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3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ht="20.399999999999999" x14ac:dyDescent="0.3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ht="30.6" x14ac:dyDescent="0.3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ht="20.399999999999999" x14ac:dyDescent="0.3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ht="20.399999999999999" x14ac:dyDescent="0.3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ht="20.399999999999999" x14ac:dyDescent="0.3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3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x14ac:dyDescent="0.3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x14ac:dyDescent="0.3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ht="20.399999999999999" x14ac:dyDescent="0.3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ht="20.399999999999999" x14ac:dyDescent="0.3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ht="20.399999999999999" x14ac:dyDescent="0.3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ht="20.399999999999999" x14ac:dyDescent="0.3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ht="20.399999999999999" x14ac:dyDescent="0.3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ht="20.399999999999999" x14ac:dyDescent="0.3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ht="20.399999999999999" x14ac:dyDescent="0.3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x14ac:dyDescent="0.3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3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3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ht="20.399999999999999" x14ac:dyDescent="0.3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ht="20.399999999999999" x14ac:dyDescent="0.3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ht="20.399999999999999" x14ac:dyDescent="0.3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ht="30.6" x14ac:dyDescent="0.3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40.799999999999997" x14ac:dyDescent="0.3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3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ht="20.399999999999999" x14ac:dyDescent="0.3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ht="20.399999999999999" x14ac:dyDescent="0.3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x14ac:dyDescent="0.3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ht="20.399999999999999" x14ac:dyDescent="0.3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3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3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ht="20.399999999999999" x14ac:dyDescent="0.3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x14ac:dyDescent="0.3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x14ac:dyDescent="0.3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ht="30.6" x14ac:dyDescent="0.3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ht="30.6" x14ac:dyDescent="0.3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x14ac:dyDescent="0.3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x14ac:dyDescent="0.3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ht="20.399999999999999" x14ac:dyDescent="0.3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ht="20.399999999999999" x14ac:dyDescent="0.3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ht="20.399999999999999" x14ac:dyDescent="0.3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ht="20.399999999999999" x14ac:dyDescent="0.3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ht="20.399999999999999" x14ac:dyDescent="0.3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ht="20.399999999999999" x14ac:dyDescent="0.3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ht="20.399999999999999" x14ac:dyDescent="0.3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ht="20.399999999999999" x14ac:dyDescent="0.3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ht="20.399999999999999" x14ac:dyDescent="0.3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ht="30.6" x14ac:dyDescent="0.3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ht="20.399999999999999" x14ac:dyDescent="0.3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ht="20.399999999999999" x14ac:dyDescent="0.3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ht="20.399999999999999" x14ac:dyDescent="0.3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ht="20.399999999999999" x14ac:dyDescent="0.3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ht="20.399999999999999" x14ac:dyDescent="0.3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ht="20.399999999999999" x14ac:dyDescent="0.3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ht="20.399999999999999" x14ac:dyDescent="0.3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ht="20.399999999999999" x14ac:dyDescent="0.3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ht="20.399999999999999" x14ac:dyDescent="0.3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ht="20.399999999999999" x14ac:dyDescent="0.3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ht="20.399999999999999" x14ac:dyDescent="0.3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ht="20.399999999999999" x14ac:dyDescent="0.3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ht="20.399999999999999" x14ac:dyDescent="0.3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3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3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x14ac:dyDescent="0.3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ht="20.399999999999999" x14ac:dyDescent="0.3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ht="20.399999999999999" x14ac:dyDescent="0.3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3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ht="20.399999999999999" x14ac:dyDescent="0.3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x14ac:dyDescent="0.3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3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3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ht="20.399999999999999" x14ac:dyDescent="0.3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ht="20.399999999999999" x14ac:dyDescent="0.3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3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ht="30.6" x14ac:dyDescent="0.3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ht="30.6" x14ac:dyDescent="0.3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3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3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3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3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3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3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3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3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3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3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3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3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3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3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3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3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3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3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3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3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3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3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3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3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3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3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3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3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3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3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3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3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3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3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3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3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ht="20.399999999999999" x14ac:dyDescent="0.3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3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3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3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3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3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3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x14ac:dyDescent="0.3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3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3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3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3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3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3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3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3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3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ht="20.399999999999999" x14ac:dyDescent="0.3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ht="30.6" x14ac:dyDescent="0.3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ht="20.399999999999999" x14ac:dyDescent="0.3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ht="20.399999999999999" x14ac:dyDescent="0.3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3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3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ht="40.799999999999997" x14ac:dyDescent="0.3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ht="40.799999999999997" x14ac:dyDescent="0.3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ht="40.799999999999997" x14ac:dyDescent="0.3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ht="40.799999999999997" x14ac:dyDescent="0.3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ht="40.799999999999997" x14ac:dyDescent="0.3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ht="40.799999999999997" x14ac:dyDescent="0.3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ht="40.799999999999997" x14ac:dyDescent="0.3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ht="40.799999999999997" x14ac:dyDescent="0.3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ht="40.799999999999997" x14ac:dyDescent="0.3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ht="40.799999999999997" x14ac:dyDescent="0.3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ht="40.799999999999997" x14ac:dyDescent="0.3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ht="40.799999999999997" x14ac:dyDescent="0.3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ht="40.799999999999997" x14ac:dyDescent="0.3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ht="40.799999999999997" x14ac:dyDescent="0.3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ht="40.799999999999997" x14ac:dyDescent="0.3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ht="40.799999999999997" x14ac:dyDescent="0.3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ht="40.799999999999997" x14ac:dyDescent="0.3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ht="40.799999999999997" x14ac:dyDescent="0.3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ht="40.799999999999997" x14ac:dyDescent="0.3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ht="40.799999999999997" x14ac:dyDescent="0.3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ht="40.799999999999997" x14ac:dyDescent="0.3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ht="40.799999999999997" x14ac:dyDescent="0.3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ht="40.799999999999997" x14ac:dyDescent="0.3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ht="40.799999999999997" x14ac:dyDescent="0.3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ht="40.799999999999997" x14ac:dyDescent="0.3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ht="40.799999999999997" x14ac:dyDescent="0.3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ht="40.799999999999997" x14ac:dyDescent="0.3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ht="40.799999999999997" x14ac:dyDescent="0.3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ht="40.799999999999997" x14ac:dyDescent="0.3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ht="40.799999999999997" x14ac:dyDescent="0.3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ht="40.799999999999997" x14ac:dyDescent="0.3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ht="40.799999999999997" x14ac:dyDescent="0.3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ht="40.799999999999997" x14ac:dyDescent="0.3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ht="40.799999999999997" x14ac:dyDescent="0.3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ht="40.799999999999997" x14ac:dyDescent="0.3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ht="40.799999999999997" x14ac:dyDescent="0.3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ht="40.799999999999997" x14ac:dyDescent="0.3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ht="40.799999999999997" x14ac:dyDescent="0.3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ht="40.799999999999997" x14ac:dyDescent="0.3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ht="40.799999999999997" x14ac:dyDescent="0.3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ht="40.799999999999997" x14ac:dyDescent="0.3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x14ac:dyDescent="0.3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ht="20.399999999999999" x14ac:dyDescent="0.3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ht="20.399999999999999" x14ac:dyDescent="0.3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3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ht="20.399999999999999" x14ac:dyDescent="0.3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ht="20.399999999999999" x14ac:dyDescent="0.3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ht="20.399999999999999" x14ac:dyDescent="0.3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ht="20.399999999999999" x14ac:dyDescent="0.3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ht="20.399999999999999" x14ac:dyDescent="0.3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ht="20.399999999999999" x14ac:dyDescent="0.3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ht="20.399999999999999" x14ac:dyDescent="0.3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ht="20.399999999999999" x14ac:dyDescent="0.3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ht="20.399999999999999" x14ac:dyDescent="0.3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ht="20.399999999999999" x14ac:dyDescent="0.3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ht="20.399999999999999" x14ac:dyDescent="0.3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ht="20.399999999999999" x14ac:dyDescent="0.3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ht="20.399999999999999" x14ac:dyDescent="0.3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ht="20.399999999999999" x14ac:dyDescent="0.3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ht="20.399999999999999" x14ac:dyDescent="0.3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ht="20.399999999999999" x14ac:dyDescent="0.3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ht="20.399999999999999" x14ac:dyDescent="0.3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ht="20.399999999999999" x14ac:dyDescent="0.3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ht="20.399999999999999" x14ac:dyDescent="0.3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ht="20.399999999999999" x14ac:dyDescent="0.3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x14ac:dyDescent="0.3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x14ac:dyDescent="0.3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x14ac:dyDescent="0.3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ht="20.399999999999999" x14ac:dyDescent="0.3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ht="30.6" x14ac:dyDescent="0.3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ht="30.6" x14ac:dyDescent="0.3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ht="30.6" x14ac:dyDescent="0.3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ht="20.399999999999999" x14ac:dyDescent="0.3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3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3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3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3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3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3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ht="20.399999999999999" x14ac:dyDescent="0.3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ht="20.399999999999999" x14ac:dyDescent="0.3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ht="20.399999999999999" x14ac:dyDescent="0.3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x14ac:dyDescent="0.3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x14ac:dyDescent="0.3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x14ac:dyDescent="0.3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ht="20.399999999999999" x14ac:dyDescent="0.3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ht="20.399999999999999" x14ac:dyDescent="0.3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ht="20.399999999999999" x14ac:dyDescent="0.3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ht="20.399999999999999" x14ac:dyDescent="0.3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ht="20.399999999999999" x14ac:dyDescent="0.3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ht="20.399999999999999" x14ac:dyDescent="0.3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ht="20.399999999999999" x14ac:dyDescent="0.3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ht="20.399999999999999" x14ac:dyDescent="0.3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ht="20.399999999999999" x14ac:dyDescent="0.3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ht="20.399999999999999" x14ac:dyDescent="0.3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ht="20.399999999999999" x14ac:dyDescent="0.3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ht="20.399999999999999" x14ac:dyDescent="0.3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ht="20.399999999999999" x14ac:dyDescent="0.3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ht="20.399999999999999" x14ac:dyDescent="0.3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ht="20.399999999999999" x14ac:dyDescent="0.3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ht="20.399999999999999" x14ac:dyDescent="0.3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ht="20.399999999999999" x14ac:dyDescent="0.3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x14ac:dyDescent="0.3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3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ht="20.399999999999999" x14ac:dyDescent="0.3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ht="20.399999999999999" x14ac:dyDescent="0.3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x14ac:dyDescent="0.3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x14ac:dyDescent="0.3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x14ac:dyDescent="0.3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x14ac:dyDescent="0.3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x14ac:dyDescent="0.3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x14ac:dyDescent="0.3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x14ac:dyDescent="0.3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x14ac:dyDescent="0.3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ht="30.6" x14ac:dyDescent="0.3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ht="20.399999999999999" x14ac:dyDescent="0.3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ht="20.399999999999999" x14ac:dyDescent="0.3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ht="20.399999999999999" x14ac:dyDescent="0.3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x14ac:dyDescent="0.3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3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3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3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ht="20.399999999999999" x14ac:dyDescent="0.3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ht="20.399999999999999" x14ac:dyDescent="0.3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ht="30.6" x14ac:dyDescent="0.3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ht="20.399999999999999" x14ac:dyDescent="0.3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3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ht="20.399999999999999" x14ac:dyDescent="0.3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ht="20.399999999999999" x14ac:dyDescent="0.3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ht="20.399999999999999" x14ac:dyDescent="0.3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ht="20.399999999999999" x14ac:dyDescent="0.3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ht="20.399999999999999" x14ac:dyDescent="0.3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x14ac:dyDescent="0.3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ht="20.399999999999999" x14ac:dyDescent="0.3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x14ac:dyDescent="0.3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3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ht="20.399999999999999" x14ac:dyDescent="0.3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ht="20.399999999999999" x14ac:dyDescent="0.3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ht="20.399999999999999" x14ac:dyDescent="0.3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ht="20.399999999999999" x14ac:dyDescent="0.3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ht="30.6" x14ac:dyDescent="0.3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3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ht="30.6" x14ac:dyDescent="0.3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3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3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ht="20.399999999999999" x14ac:dyDescent="0.3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ht="30.6" x14ac:dyDescent="0.3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ht="20.399999999999999" x14ac:dyDescent="0.3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3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3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ht="20.399999999999999" x14ac:dyDescent="0.3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3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ht="20.399999999999999" x14ac:dyDescent="0.3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x14ac:dyDescent="0.3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3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ht="20.399999999999999" x14ac:dyDescent="0.3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x14ac:dyDescent="0.3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ht="40.799999999999997" x14ac:dyDescent="0.3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ht="20.399999999999999" x14ac:dyDescent="0.3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x14ac:dyDescent="0.3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ht="20.399999999999999" x14ac:dyDescent="0.3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ht="20.399999999999999" x14ac:dyDescent="0.3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3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3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ht="30.6" x14ac:dyDescent="0.3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ht="40.799999999999997" x14ac:dyDescent="0.3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3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x14ac:dyDescent="0.3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ht="20.399999999999999" x14ac:dyDescent="0.3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x14ac:dyDescent="0.3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x14ac:dyDescent="0.3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x14ac:dyDescent="0.3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x14ac:dyDescent="0.3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3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ht="20.399999999999999" x14ac:dyDescent="0.3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ht="20.399999999999999" x14ac:dyDescent="0.3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3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3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3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x14ac:dyDescent="0.3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ht="20.399999999999999" x14ac:dyDescent="0.3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3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ht="30.6" x14ac:dyDescent="0.3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ht="30.6" x14ac:dyDescent="0.3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ht="20.399999999999999" x14ac:dyDescent="0.3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x14ac:dyDescent="0.3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ht="30.6" x14ac:dyDescent="0.3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3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3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x14ac:dyDescent="0.3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3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x14ac:dyDescent="0.3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3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3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x14ac:dyDescent="0.3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3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ht="20.399999999999999" x14ac:dyDescent="0.3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ht="20.399999999999999" x14ac:dyDescent="0.3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3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3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ht="20.399999999999999" x14ac:dyDescent="0.3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ht="20.399999999999999" x14ac:dyDescent="0.3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ht="30.6" x14ac:dyDescent="0.3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ht="20.399999999999999" x14ac:dyDescent="0.3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ht="20.399999999999999" x14ac:dyDescent="0.3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ht="20.399999999999999" x14ac:dyDescent="0.3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ht="20.399999999999999" x14ac:dyDescent="0.3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ht="30.6" x14ac:dyDescent="0.3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ht="20.399999999999999" x14ac:dyDescent="0.3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ht="40.799999999999997" x14ac:dyDescent="0.3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3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x14ac:dyDescent="0.3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ht="20.399999999999999" x14ac:dyDescent="0.3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ht="20.399999999999999" x14ac:dyDescent="0.3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ht="20.399999999999999" x14ac:dyDescent="0.3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x14ac:dyDescent="0.3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3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ht="20.399999999999999" x14ac:dyDescent="0.3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3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3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x14ac:dyDescent="0.3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3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ht="20.399999999999999" x14ac:dyDescent="0.3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3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3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3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ht="20.399999999999999" x14ac:dyDescent="0.3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ht="20.399999999999999" x14ac:dyDescent="0.3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ht="20.399999999999999" x14ac:dyDescent="0.3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ht="20.399999999999999" x14ac:dyDescent="0.3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ht="20.399999999999999" x14ac:dyDescent="0.3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ht="20.399999999999999" x14ac:dyDescent="0.3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3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3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3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3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3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ht="20.399999999999999" x14ac:dyDescent="0.3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3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3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3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ht="20.399999999999999" x14ac:dyDescent="0.3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x14ac:dyDescent="0.3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x14ac:dyDescent="0.3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ht="20.399999999999999" x14ac:dyDescent="0.3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ht="20.399999999999999" x14ac:dyDescent="0.3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x14ac:dyDescent="0.3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3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3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ht="20.399999999999999" x14ac:dyDescent="0.3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3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x14ac:dyDescent="0.3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x14ac:dyDescent="0.3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x14ac:dyDescent="0.3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x14ac:dyDescent="0.3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x14ac:dyDescent="0.3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x14ac:dyDescent="0.3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x14ac:dyDescent="0.3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ht="30.6" x14ac:dyDescent="0.3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ht="30.6" x14ac:dyDescent="0.3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ht="30.6" x14ac:dyDescent="0.3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ht="40.799999999999997" x14ac:dyDescent="0.3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ht="30.6" x14ac:dyDescent="0.3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x14ac:dyDescent="0.3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ht="20.399999999999999" x14ac:dyDescent="0.3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3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3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3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3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3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3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3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3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3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3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3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3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3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3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3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3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3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3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3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3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3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3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ht="20.399999999999999" x14ac:dyDescent="0.3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ht="20.399999999999999" x14ac:dyDescent="0.3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x14ac:dyDescent="0.3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ht="20.399999999999999" x14ac:dyDescent="0.3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3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3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x14ac:dyDescent="0.3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3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3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3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ht="20.399999999999999" x14ac:dyDescent="0.3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ht="20.399999999999999" x14ac:dyDescent="0.3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ht="20.399999999999999" x14ac:dyDescent="0.3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3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3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3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3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3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3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3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3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3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3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3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3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3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3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3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3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3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3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3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3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3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3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3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3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3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3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ht="30.6" x14ac:dyDescent="0.3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3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3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3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3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3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3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3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ht="20.399999999999999" x14ac:dyDescent="0.3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ht="30.6" x14ac:dyDescent="0.3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3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3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ht="20.399999999999999" x14ac:dyDescent="0.3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ht="20.399999999999999" x14ac:dyDescent="0.3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ht="20.399999999999999" x14ac:dyDescent="0.3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ht="20.399999999999999" x14ac:dyDescent="0.3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ht="20.399999999999999" x14ac:dyDescent="0.3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ht="20.399999999999999" x14ac:dyDescent="0.3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3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ht="20.399999999999999" x14ac:dyDescent="0.3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x14ac:dyDescent="0.3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3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ht="20.399999999999999" x14ac:dyDescent="0.3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ht="20.399999999999999" x14ac:dyDescent="0.3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x14ac:dyDescent="0.3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x14ac:dyDescent="0.3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x14ac:dyDescent="0.3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ht="20.399999999999999" x14ac:dyDescent="0.3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x14ac:dyDescent="0.3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x14ac:dyDescent="0.3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3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3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x14ac:dyDescent="0.3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ht="20.399999999999999" x14ac:dyDescent="0.3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ht="20.399999999999999" x14ac:dyDescent="0.3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ht="20.399999999999999" x14ac:dyDescent="0.3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ht="30.6" x14ac:dyDescent="0.3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ht="30.6" x14ac:dyDescent="0.3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3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x14ac:dyDescent="0.3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ht="20.399999999999999" x14ac:dyDescent="0.3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3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3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x14ac:dyDescent="0.3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ht="30.6" x14ac:dyDescent="0.3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x14ac:dyDescent="0.3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3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ht="20.399999999999999" x14ac:dyDescent="0.3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ht="20.399999999999999" x14ac:dyDescent="0.3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3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3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ht="20.399999999999999" x14ac:dyDescent="0.3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ht="20.399999999999999" x14ac:dyDescent="0.3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ht="20.399999999999999" x14ac:dyDescent="0.3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ht="20.399999999999999" x14ac:dyDescent="0.3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ht="20.399999999999999" x14ac:dyDescent="0.3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ht="20.399999999999999" x14ac:dyDescent="0.3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ht="20.399999999999999" x14ac:dyDescent="0.3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ht="30.6" x14ac:dyDescent="0.3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ht="20.399999999999999" x14ac:dyDescent="0.3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3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x14ac:dyDescent="0.3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ht="20.399999999999999" x14ac:dyDescent="0.3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ht="20.399999999999999" x14ac:dyDescent="0.3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ht="20.399999999999999" x14ac:dyDescent="0.3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ht="20.399999999999999" x14ac:dyDescent="0.3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ht="20.399999999999999" x14ac:dyDescent="0.3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ht="20.399999999999999" x14ac:dyDescent="0.3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ht="20.399999999999999" x14ac:dyDescent="0.3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ht="20.399999999999999" x14ac:dyDescent="0.3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ht="20.399999999999999" x14ac:dyDescent="0.3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3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3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3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3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3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3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3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3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3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3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3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3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3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3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3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3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3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3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ht="20.399999999999999" x14ac:dyDescent="0.3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3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3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3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3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x14ac:dyDescent="0.3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ht="20.399999999999999" x14ac:dyDescent="0.3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ht="20.399999999999999" x14ac:dyDescent="0.3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ht="20.399999999999999" x14ac:dyDescent="0.3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ht="20.399999999999999" x14ac:dyDescent="0.3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ht="20.399999999999999" x14ac:dyDescent="0.3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3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ht="30.6" x14ac:dyDescent="0.3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ht="20.399999999999999" x14ac:dyDescent="0.3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3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3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3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3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3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3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ht="20.399999999999999" x14ac:dyDescent="0.3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ht="20.399999999999999" x14ac:dyDescent="0.3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ht="20.399999999999999" x14ac:dyDescent="0.3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ht="20.399999999999999" x14ac:dyDescent="0.3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ht="20.399999999999999" x14ac:dyDescent="0.3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ht="20.399999999999999" x14ac:dyDescent="0.3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x14ac:dyDescent="0.3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3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ht="20.399999999999999" x14ac:dyDescent="0.3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ht="20.399999999999999" x14ac:dyDescent="0.3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x14ac:dyDescent="0.3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x14ac:dyDescent="0.3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x14ac:dyDescent="0.3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ht="20.399999999999999" x14ac:dyDescent="0.3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ht="20.399999999999999" x14ac:dyDescent="0.3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3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ht="20.399999999999999" x14ac:dyDescent="0.3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3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3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x14ac:dyDescent="0.3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ht="20.399999999999999" x14ac:dyDescent="0.3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3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ht="20.399999999999999" x14ac:dyDescent="0.3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ht="20.399999999999999" x14ac:dyDescent="0.3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3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3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3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ht="20.399999999999999" x14ac:dyDescent="0.3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ht="20.399999999999999" x14ac:dyDescent="0.3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3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3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3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ht="20.399999999999999" x14ac:dyDescent="0.3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ht="20.399999999999999" x14ac:dyDescent="0.3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ht="20.399999999999999" x14ac:dyDescent="0.3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ht="40.799999999999997" x14ac:dyDescent="0.3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x14ac:dyDescent="0.3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ht="20.399999999999999" x14ac:dyDescent="0.3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ht="20.399999999999999" x14ac:dyDescent="0.3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ht="20.399999999999999" x14ac:dyDescent="0.3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x14ac:dyDescent="0.3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ht="20.399999999999999" x14ac:dyDescent="0.3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ht="20.399999999999999" x14ac:dyDescent="0.3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x14ac:dyDescent="0.3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x14ac:dyDescent="0.3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x14ac:dyDescent="0.3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x14ac:dyDescent="0.3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x14ac:dyDescent="0.3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x14ac:dyDescent="0.3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ht="20.399999999999999" x14ac:dyDescent="0.3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x14ac:dyDescent="0.3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ht="20.399999999999999" x14ac:dyDescent="0.3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ht="20.399999999999999" x14ac:dyDescent="0.3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ht="20.399999999999999" x14ac:dyDescent="0.3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ht="30.6" x14ac:dyDescent="0.3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ht="20.399999999999999" x14ac:dyDescent="0.3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ht="20.399999999999999" x14ac:dyDescent="0.3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ht="30.6" x14ac:dyDescent="0.3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ht="20.399999999999999" x14ac:dyDescent="0.3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ht="20.399999999999999" x14ac:dyDescent="0.3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ht="20.399999999999999" x14ac:dyDescent="0.3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ht="20.399999999999999" x14ac:dyDescent="0.3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ht="30.6" x14ac:dyDescent="0.3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ht="30.6" x14ac:dyDescent="0.3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ht="20.399999999999999" x14ac:dyDescent="0.3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ht="20.399999999999999" x14ac:dyDescent="0.3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ht="20.399999999999999" x14ac:dyDescent="0.3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ht="30.6" x14ac:dyDescent="0.3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ht="30.6" x14ac:dyDescent="0.3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ht="20.399999999999999" x14ac:dyDescent="0.3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ht="20.399999999999999" x14ac:dyDescent="0.3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ht="30.6" x14ac:dyDescent="0.3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ht="20.399999999999999" x14ac:dyDescent="0.3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ht="20.399999999999999" x14ac:dyDescent="0.3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ht="20.399999999999999" x14ac:dyDescent="0.3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ht="30.6" x14ac:dyDescent="0.3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ht="20.399999999999999" x14ac:dyDescent="0.3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ht="20.399999999999999" x14ac:dyDescent="0.3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ht="20.399999999999999" x14ac:dyDescent="0.3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ht="20.399999999999999" x14ac:dyDescent="0.3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ht="30.6" x14ac:dyDescent="0.3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ht="20.399999999999999" x14ac:dyDescent="0.3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ht="20.399999999999999" x14ac:dyDescent="0.3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ht="30.6" x14ac:dyDescent="0.3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ht="40.799999999999997" x14ac:dyDescent="0.3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ht="30.6" x14ac:dyDescent="0.3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ht="30.6" x14ac:dyDescent="0.3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ht="30.6" x14ac:dyDescent="0.3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ht="30.6" x14ac:dyDescent="0.3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3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ht="20.399999999999999" x14ac:dyDescent="0.3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3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3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3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3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ht="20.399999999999999" x14ac:dyDescent="0.3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ht="20.399999999999999" x14ac:dyDescent="0.3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x14ac:dyDescent="0.3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3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ht="20.399999999999999" x14ac:dyDescent="0.3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3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x14ac:dyDescent="0.3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3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ht="20.399999999999999" x14ac:dyDescent="0.3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ht="20.399999999999999" x14ac:dyDescent="0.3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ht="20.399999999999999" x14ac:dyDescent="0.3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ht="20.399999999999999" x14ac:dyDescent="0.3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3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3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ht="20.399999999999999" x14ac:dyDescent="0.3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ht="30.6" x14ac:dyDescent="0.3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ht="20.399999999999999" x14ac:dyDescent="0.3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ht="20.399999999999999" x14ac:dyDescent="0.3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ht="20.399999999999999" x14ac:dyDescent="0.3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ht="20.399999999999999" x14ac:dyDescent="0.3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ht="20.399999999999999" x14ac:dyDescent="0.3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ht="20.399999999999999" x14ac:dyDescent="0.3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ht="20.399999999999999" x14ac:dyDescent="0.3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ht="20.399999999999999" x14ac:dyDescent="0.3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ht="20.399999999999999" x14ac:dyDescent="0.3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ht="20.399999999999999" x14ac:dyDescent="0.3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ht="20.399999999999999" x14ac:dyDescent="0.3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ht="20.399999999999999" x14ac:dyDescent="0.3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ht="20.399999999999999" x14ac:dyDescent="0.3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ht="20.399999999999999" x14ac:dyDescent="0.3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ht="20.399999999999999" x14ac:dyDescent="0.3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ht="20.399999999999999" x14ac:dyDescent="0.3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ht="20.399999999999999" x14ac:dyDescent="0.3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ht="20.399999999999999" x14ac:dyDescent="0.3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ht="20.399999999999999" x14ac:dyDescent="0.3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ht="20.399999999999999" x14ac:dyDescent="0.3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ht="20.399999999999999" x14ac:dyDescent="0.3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ht="20.399999999999999" x14ac:dyDescent="0.3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ht="20.399999999999999" x14ac:dyDescent="0.3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ht="20.399999999999999" x14ac:dyDescent="0.3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ht="20.399999999999999" x14ac:dyDescent="0.3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ht="20.399999999999999" x14ac:dyDescent="0.3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3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ht="20.399999999999999" x14ac:dyDescent="0.3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3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3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3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3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3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x14ac:dyDescent="0.3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ht="20.399999999999999" x14ac:dyDescent="0.3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x14ac:dyDescent="0.3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x14ac:dyDescent="0.3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x14ac:dyDescent="0.3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ht="20.399999999999999" x14ac:dyDescent="0.3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ht="20.399999999999999" x14ac:dyDescent="0.3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ht="20.399999999999999" x14ac:dyDescent="0.3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3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ht="20.399999999999999" x14ac:dyDescent="0.3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ht="20.399999999999999" x14ac:dyDescent="0.3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ht="20.399999999999999" x14ac:dyDescent="0.3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ht="20.399999999999999" x14ac:dyDescent="0.3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ht="30.6" x14ac:dyDescent="0.3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ht="20.399999999999999" x14ac:dyDescent="0.3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ht="30.6" x14ac:dyDescent="0.3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ht="30.6" x14ac:dyDescent="0.3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ht="20.399999999999999" x14ac:dyDescent="0.3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ht="30.6" x14ac:dyDescent="0.3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ht="20.399999999999999" x14ac:dyDescent="0.3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51" x14ac:dyDescent="0.3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ht="30.6" x14ac:dyDescent="0.3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ht="30.6" x14ac:dyDescent="0.3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3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ht="40.799999999999997" x14ac:dyDescent="0.3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ht="30.6" x14ac:dyDescent="0.3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ht="30.6" x14ac:dyDescent="0.3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ht="30.6" x14ac:dyDescent="0.3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ht="30.6" x14ac:dyDescent="0.3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ht="30.6" x14ac:dyDescent="0.3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ht="30.6" x14ac:dyDescent="0.3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ht="30.6" x14ac:dyDescent="0.3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ht="30.6" x14ac:dyDescent="0.3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ht="40.799999999999997" x14ac:dyDescent="0.3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ht="30.6" x14ac:dyDescent="0.3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ht="20.399999999999999" x14ac:dyDescent="0.3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3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3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3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ht="30.6" x14ac:dyDescent="0.3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x14ac:dyDescent="0.3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ht="20.399999999999999" x14ac:dyDescent="0.3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ht="20.399999999999999" x14ac:dyDescent="0.3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ht="20.399999999999999" x14ac:dyDescent="0.3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ht="20.399999999999999" x14ac:dyDescent="0.3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ht="20.399999999999999" x14ac:dyDescent="0.3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ht="20.399999999999999" x14ac:dyDescent="0.3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ht="30.6" x14ac:dyDescent="0.3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3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3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x14ac:dyDescent="0.3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ht="20.399999999999999" x14ac:dyDescent="0.3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ht="20.399999999999999" x14ac:dyDescent="0.3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ht="20.399999999999999" x14ac:dyDescent="0.3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ht="20.399999999999999" x14ac:dyDescent="0.3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ht="20.399999999999999" x14ac:dyDescent="0.3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ht="20.399999999999999" x14ac:dyDescent="0.3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ht="20.399999999999999" x14ac:dyDescent="0.3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ht="30.6" x14ac:dyDescent="0.3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ht="20.399999999999999" x14ac:dyDescent="0.3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ht="20.399999999999999" x14ac:dyDescent="0.3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ht="30.6" x14ac:dyDescent="0.3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ht="30.6" x14ac:dyDescent="0.3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ht="30.6" x14ac:dyDescent="0.3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ht="20.399999999999999" x14ac:dyDescent="0.3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ht="20.399999999999999" x14ac:dyDescent="0.3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ht="30.6" x14ac:dyDescent="0.3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3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3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3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3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ht="20.399999999999999" x14ac:dyDescent="0.3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ht="20.399999999999999" x14ac:dyDescent="0.3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ht="20.399999999999999" x14ac:dyDescent="0.3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ht="20.399999999999999" x14ac:dyDescent="0.3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ht="30.6" x14ac:dyDescent="0.3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ht="30.6" x14ac:dyDescent="0.3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3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3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ht="20.399999999999999" x14ac:dyDescent="0.3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3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3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x14ac:dyDescent="0.3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ht="20.399999999999999" x14ac:dyDescent="0.3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3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ht="30.6" x14ac:dyDescent="0.3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ht="30.6" x14ac:dyDescent="0.3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x14ac:dyDescent="0.3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3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ht="20.399999999999999" x14ac:dyDescent="0.3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ht="20.399999999999999" x14ac:dyDescent="0.3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ht="20.399999999999999" x14ac:dyDescent="0.3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ht="20.399999999999999" x14ac:dyDescent="0.3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ht="20.399999999999999" x14ac:dyDescent="0.3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ht="20.399999999999999" x14ac:dyDescent="0.3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ht="20.399999999999999" x14ac:dyDescent="0.3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ht="20.399999999999999" x14ac:dyDescent="0.3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ht="20.399999999999999" x14ac:dyDescent="0.3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ht="20.399999999999999" x14ac:dyDescent="0.3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ht="20.399999999999999" x14ac:dyDescent="0.3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ht="30.6" x14ac:dyDescent="0.3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ht="20.399999999999999" x14ac:dyDescent="0.3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ht="20.399999999999999" x14ac:dyDescent="0.3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ht="20.399999999999999" x14ac:dyDescent="0.3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ht="30.6" x14ac:dyDescent="0.3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ht="20.399999999999999" x14ac:dyDescent="0.3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ht="20.399999999999999" x14ac:dyDescent="0.3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ht="20.399999999999999" x14ac:dyDescent="0.3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ht="20.399999999999999" x14ac:dyDescent="0.3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ht="20.399999999999999" x14ac:dyDescent="0.3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ht="20.399999999999999" x14ac:dyDescent="0.3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3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ht="20.399999999999999" x14ac:dyDescent="0.3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x14ac:dyDescent="0.3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3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ht="20.399999999999999" x14ac:dyDescent="0.3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ht="30.6" x14ac:dyDescent="0.3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ht="30.6" x14ac:dyDescent="0.3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ht="20.399999999999999" x14ac:dyDescent="0.3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x14ac:dyDescent="0.3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3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ht="20.399999999999999" x14ac:dyDescent="0.3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3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3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ht="30.6" x14ac:dyDescent="0.3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ht="30.6" x14ac:dyDescent="0.3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ht="30.6" x14ac:dyDescent="0.3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3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ht="20.399999999999999" x14ac:dyDescent="0.3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3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ht="20.399999999999999" x14ac:dyDescent="0.3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ht="20.399999999999999" x14ac:dyDescent="0.3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3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ht="20.399999999999999" x14ac:dyDescent="0.3">
      <c r="A1313" s="29" t="s">
        <v>74</v>
      </c>
      <c r="B1313" s="30">
        <v>46139</v>
      </c>
      <c r="C1313" s="30">
        <v>46139</v>
      </c>
      <c r="D1313" s="30">
        <v>46201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3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3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3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ht="20.399999999999999" x14ac:dyDescent="0.3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3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x14ac:dyDescent="0.3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ht="20.399999999999999" x14ac:dyDescent="0.3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ht="20.399999999999999" x14ac:dyDescent="0.3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ht="30.6" x14ac:dyDescent="0.3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ht="20.399999999999999" x14ac:dyDescent="0.3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ht="20.399999999999999" x14ac:dyDescent="0.3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3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ht="30.6" x14ac:dyDescent="0.3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ht="20.399999999999999" x14ac:dyDescent="0.3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ht="30.6" x14ac:dyDescent="0.3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ht="30.6" x14ac:dyDescent="0.3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ht="30.6" x14ac:dyDescent="0.3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3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ht="20.399999999999999" x14ac:dyDescent="0.3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3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3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3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ht="20.399999999999999" x14ac:dyDescent="0.3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ht="20.399999999999999" x14ac:dyDescent="0.3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ht="20.399999999999999" x14ac:dyDescent="0.3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ht="20.399999999999999" x14ac:dyDescent="0.3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ht="20.399999999999999" x14ac:dyDescent="0.3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ht="20.399999999999999" x14ac:dyDescent="0.3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ht="20.399999999999999" x14ac:dyDescent="0.3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x14ac:dyDescent="0.3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ht="20.399999999999999" x14ac:dyDescent="0.3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ht="20.399999999999999" x14ac:dyDescent="0.3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ht="20.399999999999999" x14ac:dyDescent="0.3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ht="20.399999999999999" x14ac:dyDescent="0.3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3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3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2300</v>
      </c>
      <c r="F1349" s="29" t="s">
        <v>6</v>
      </c>
      <c r="G1349" s="31">
        <v>238</v>
      </c>
      <c r="H1349" s="31" t="s">
        <v>2301</v>
      </c>
      <c r="I1349" s="28" t="s">
        <v>37</v>
      </c>
    </row>
    <row r="1350" spans="1:9" ht="20.399999999999999" x14ac:dyDescent="0.3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2302</v>
      </c>
      <c r="I1350" s="28" t="s">
        <v>47</v>
      </c>
    </row>
    <row r="1351" spans="1:9" ht="20.399999999999999" x14ac:dyDescent="0.3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2303</v>
      </c>
      <c r="I1351" s="28" t="s">
        <v>43</v>
      </c>
    </row>
    <row r="1352" spans="1:9" ht="20.399999999999999" x14ac:dyDescent="0.3">
      <c r="A1352" s="29" t="s">
        <v>5</v>
      </c>
      <c r="B1352" s="30">
        <v>46148</v>
      </c>
      <c r="C1352" s="30">
        <v>46149</v>
      </c>
      <c r="D1352" s="30">
        <v>46209</v>
      </c>
      <c r="E1352" s="29" t="s">
        <v>2304</v>
      </c>
      <c r="F1352" s="29" t="s">
        <v>54</v>
      </c>
      <c r="G1352" s="31">
        <v>71</v>
      </c>
      <c r="H1352" s="31" t="s">
        <v>2305</v>
      </c>
      <c r="I1352" s="28" t="s">
        <v>46</v>
      </c>
    </row>
    <row r="1353" spans="1:9" ht="20.399999999999999" x14ac:dyDescent="0.3">
      <c r="A1353" s="29" t="s">
        <v>71</v>
      </c>
      <c r="B1353" s="30">
        <v>46149</v>
      </c>
      <c r="C1353" s="30">
        <v>46149</v>
      </c>
      <c r="D1353" s="30">
        <v>46214</v>
      </c>
      <c r="E1353" s="29" t="s">
        <v>2306</v>
      </c>
      <c r="F1353" s="29" t="s">
        <v>107</v>
      </c>
      <c r="G1353" s="31">
        <v>98</v>
      </c>
      <c r="H1353" s="31" t="s">
        <v>2307</v>
      </c>
      <c r="I1353" s="28" t="s">
        <v>47</v>
      </c>
    </row>
    <row r="1354" spans="1:9" ht="20.399999999999999" x14ac:dyDescent="0.3">
      <c r="A1354" s="29" t="s">
        <v>796</v>
      </c>
      <c r="B1354" s="30">
        <v>46149</v>
      </c>
      <c r="C1354" s="30">
        <v>46149</v>
      </c>
      <c r="D1354" s="30">
        <v>46213</v>
      </c>
      <c r="E1354" s="29" t="s">
        <v>2308</v>
      </c>
      <c r="F1354" s="29" t="s">
        <v>54</v>
      </c>
      <c r="G1354" s="31">
        <v>185</v>
      </c>
      <c r="H1354" s="31" t="s">
        <v>2309</v>
      </c>
      <c r="I1354" s="28" t="s">
        <v>30</v>
      </c>
    </row>
    <row r="1355" spans="1:9" x14ac:dyDescent="0.3">
      <c r="A1355" s="29" t="s">
        <v>94</v>
      </c>
      <c r="B1355" s="30">
        <v>46149</v>
      </c>
      <c r="C1355" s="30">
        <v>46150</v>
      </c>
      <c r="D1355" s="30">
        <v>46157</v>
      </c>
      <c r="E1355" s="29" t="s">
        <v>2327</v>
      </c>
      <c r="F1355" s="29" t="s">
        <v>6</v>
      </c>
      <c r="G1355" s="31">
        <v>224</v>
      </c>
      <c r="H1355" s="31" t="s">
        <v>2310</v>
      </c>
      <c r="I1355" s="28" t="s">
        <v>41</v>
      </c>
    </row>
    <row r="1356" spans="1:9" ht="40.799999999999997" x14ac:dyDescent="0.3">
      <c r="A1356" s="29" t="s">
        <v>5</v>
      </c>
      <c r="B1356" s="30">
        <v>46149</v>
      </c>
      <c r="C1356" s="30">
        <v>46150</v>
      </c>
      <c r="D1356" s="30">
        <v>46209</v>
      </c>
      <c r="E1356" s="29" t="s">
        <v>2311</v>
      </c>
      <c r="F1356" s="29" t="s">
        <v>54</v>
      </c>
      <c r="G1356" s="31">
        <v>72</v>
      </c>
      <c r="H1356" s="31" t="s">
        <v>2312</v>
      </c>
      <c r="I1356" s="28" t="s">
        <v>41</v>
      </c>
    </row>
    <row r="1357" spans="1:9" ht="20.399999999999999" x14ac:dyDescent="0.3">
      <c r="A1357" s="29" t="s">
        <v>311</v>
      </c>
      <c r="B1357" s="30">
        <v>46150</v>
      </c>
      <c r="C1357" s="30">
        <v>46150</v>
      </c>
      <c r="D1357" s="30">
        <v>46213</v>
      </c>
      <c r="E1357" s="29" t="s">
        <v>2313</v>
      </c>
      <c r="F1357" s="29" t="s">
        <v>54</v>
      </c>
      <c r="G1357" s="31">
        <v>85</v>
      </c>
      <c r="H1357" s="31" t="s">
        <v>2314</v>
      </c>
      <c r="I1357" s="28" t="s">
        <v>34</v>
      </c>
    </row>
    <row r="1358" spans="1:9" ht="20.399999999999999" x14ac:dyDescent="0.3">
      <c r="A1358" s="29" t="s">
        <v>5</v>
      </c>
      <c r="B1358" s="30">
        <v>46139</v>
      </c>
      <c r="C1358" s="30">
        <v>46153</v>
      </c>
      <c r="D1358" s="30">
        <v>46203</v>
      </c>
      <c r="E1358" s="29" t="s">
        <v>2315</v>
      </c>
      <c r="F1358" s="29" t="s">
        <v>6</v>
      </c>
      <c r="G1358" s="31">
        <v>20</v>
      </c>
      <c r="H1358" s="31" t="s">
        <v>2316</v>
      </c>
      <c r="I1358" s="28" t="s">
        <v>45</v>
      </c>
    </row>
    <row r="1359" spans="1:9" ht="20.399999999999999" x14ac:dyDescent="0.3">
      <c r="A1359" s="29" t="s">
        <v>5</v>
      </c>
      <c r="B1359" s="30">
        <v>46139</v>
      </c>
      <c r="C1359" s="30">
        <v>46153</v>
      </c>
      <c r="D1359" s="30">
        <v>46203</v>
      </c>
      <c r="E1359" s="29" t="s">
        <v>2317</v>
      </c>
      <c r="F1359" s="29" t="s">
        <v>6</v>
      </c>
      <c r="G1359" s="31">
        <v>5</v>
      </c>
      <c r="H1359" s="31" t="s">
        <v>2318</v>
      </c>
      <c r="I1359" s="28" t="s">
        <v>45</v>
      </c>
    </row>
    <row r="1360" spans="1:9" ht="20.399999999999999" x14ac:dyDescent="0.3">
      <c r="A1360" s="29" t="s">
        <v>5</v>
      </c>
      <c r="B1360" s="30">
        <v>46139</v>
      </c>
      <c r="C1360" s="30">
        <v>46153</v>
      </c>
      <c r="D1360" s="30">
        <v>46203</v>
      </c>
      <c r="E1360" s="29" t="s">
        <v>2319</v>
      </c>
      <c r="F1360" s="29" t="s">
        <v>6</v>
      </c>
      <c r="G1360" s="31">
        <v>15</v>
      </c>
      <c r="H1360" s="31" t="s">
        <v>2320</v>
      </c>
      <c r="I1360" s="28" t="s">
        <v>45</v>
      </c>
    </row>
    <row r="1361" spans="1:9" ht="20.399999999999999" x14ac:dyDescent="0.3">
      <c r="A1361" s="29" t="s">
        <v>5</v>
      </c>
      <c r="B1361" s="30">
        <v>46139</v>
      </c>
      <c r="C1361" s="30">
        <v>46153</v>
      </c>
      <c r="D1361" s="30">
        <v>46203</v>
      </c>
      <c r="E1361" s="29" t="s">
        <v>2321</v>
      </c>
      <c r="F1361" s="29" t="s">
        <v>6</v>
      </c>
      <c r="G1361" s="31">
        <v>5</v>
      </c>
      <c r="H1361" s="31" t="s">
        <v>2322</v>
      </c>
      <c r="I1361" s="28" t="s">
        <v>45</v>
      </c>
    </row>
    <row r="1362" spans="1:9" ht="20.399999999999999" x14ac:dyDescent="0.3">
      <c r="A1362" s="29" t="s">
        <v>5</v>
      </c>
      <c r="B1362" s="30">
        <v>46139</v>
      </c>
      <c r="C1362" s="30">
        <v>46153</v>
      </c>
      <c r="D1362" s="30">
        <v>46203</v>
      </c>
      <c r="E1362" s="29" t="s">
        <v>2323</v>
      </c>
      <c r="F1362" s="29" t="s">
        <v>6</v>
      </c>
      <c r="G1362" s="31">
        <v>3</v>
      </c>
      <c r="H1362" s="31" t="s">
        <v>2324</v>
      </c>
      <c r="I1362" s="28" t="s">
        <v>45</v>
      </c>
    </row>
    <row r="1363" spans="1:9" x14ac:dyDescent="0.3">
      <c r="A1363" s="29" t="s">
        <v>278</v>
      </c>
      <c r="B1363" s="30">
        <v>46141</v>
      </c>
      <c r="C1363" s="30">
        <v>46153</v>
      </c>
      <c r="D1363" s="30">
        <v>46203</v>
      </c>
      <c r="E1363" s="29" t="s">
        <v>2325</v>
      </c>
      <c r="F1363" s="29" t="s">
        <v>54</v>
      </c>
      <c r="G1363" s="31">
        <v>126</v>
      </c>
      <c r="H1363" s="31" t="s">
        <v>2326</v>
      </c>
      <c r="I1363" s="28" t="s">
        <v>37</v>
      </c>
    </row>
    <row r="1364" spans="1:9" ht="20.399999999999999" x14ac:dyDescent="0.3">
      <c r="A1364" s="29" t="s">
        <v>52</v>
      </c>
      <c r="B1364" s="30">
        <v>46148</v>
      </c>
      <c r="C1364" s="30">
        <v>46154</v>
      </c>
      <c r="D1364" s="30">
        <v>46204</v>
      </c>
      <c r="E1364" s="29" t="s">
        <v>2328</v>
      </c>
      <c r="F1364" s="29" t="s">
        <v>6</v>
      </c>
      <c r="G1364" s="31">
        <v>59</v>
      </c>
      <c r="H1364" s="31" t="s">
        <v>2329</v>
      </c>
      <c r="I1364" s="28" t="s">
        <v>45</v>
      </c>
    </row>
    <row r="1365" spans="1:9" ht="20.399999999999999" x14ac:dyDescent="0.3">
      <c r="A1365" s="29" t="s">
        <v>52</v>
      </c>
      <c r="B1365" s="30">
        <v>46148</v>
      </c>
      <c r="C1365" s="30">
        <v>46154</v>
      </c>
      <c r="D1365" s="30">
        <v>46204</v>
      </c>
      <c r="E1365" s="29" t="s">
        <v>2330</v>
      </c>
      <c r="F1365" s="29" t="s">
        <v>6</v>
      </c>
      <c r="G1365" s="31">
        <v>6</v>
      </c>
      <c r="H1365" s="31" t="s">
        <v>2331</v>
      </c>
      <c r="I1365" s="28" t="s">
        <v>45</v>
      </c>
    </row>
    <row r="1366" spans="1:9" ht="20.399999999999999" x14ac:dyDescent="0.3">
      <c r="A1366" s="29" t="s">
        <v>52</v>
      </c>
      <c r="B1366" s="30">
        <v>46148</v>
      </c>
      <c r="C1366" s="30">
        <v>46154</v>
      </c>
      <c r="D1366" s="30">
        <v>46204</v>
      </c>
      <c r="E1366" s="29" t="s">
        <v>2332</v>
      </c>
      <c r="F1366" s="29" t="s">
        <v>6</v>
      </c>
      <c r="G1366" s="31">
        <v>2</v>
      </c>
      <c r="H1366" s="31" t="s">
        <v>2333</v>
      </c>
      <c r="I1366" s="28" t="s">
        <v>45</v>
      </c>
    </row>
    <row r="1367" spans="1:9" ht="20.399999999999999" x14ac:dyDescent="0.3">
      <c r="A1367" s="29" t="s">
        <v>90</v>
      </c>
      <c r="B1367" s="30">
        <v>46148</v>
      </c>
      <c r="C1367" s="30">
        <v>46154</v>
      </c>
      <c r="D1367" s="30">
        <v>46204</v>
      </c>
      <c r="E1367" s="29" t="s">
        <v>2334</v>
      </c>
      <c r="F1367" s="29" t="s">
        <v>6</v>
      </c>
      <c r="G1367" s="31">
        <v>6</v>
      </c>
      <c r="H1367" s="31" t="s">
        <v>2335</v>
      </c>
      <c r="I1367" s="28" t="s">
        <v>45</v>
      </c>
    </row>
    <row r="1368" spans="1:9" ht="20.399999999999999" x14ac:dyDescent="0.3">
      <c r="A1368" s="29" t="s">
        <v>5</v>
      </c>
      <c r="B1368" s="30">
        <v>46153</v>
      </c>
      <c r="C1368" s="30">
        <v>46154</v>
      </c>
      <c r="D1368" s="30">
        <v>46208</v>
      </c>
      <c r="E1368" s="29" t="s">
        <v>2336</v>
      </c>
      <c r="F1368" s="29" t="s">
        <v>54</v>
      </c>
      <c r="G1368" s="31">
        <v>50</v>
      </c>
      <c r="H1368" s="31" t="s">
        <v>2337</v>
      </c>
      <c r="I1368" s="28" t="s">
        <v>37</v>
      </c>
    </row>
    <row r="1369" spans="1:9" ht="40.799999999999997" x14ac:dyDescent="0.3">
      <c r="A1369" s="29" t="s">
        <v>5</v>
      </c>
      <c r="B1369" s="30">
        <v>46149</v>
      </c>
      <c r="C1369" s="30">
        <v>46154</v>
      </c>
      <c r="D1369" s="30">
        <v>46203</v>
      </c>
      <c r="E1369" s="29" t="s">
        <v>2338</v>
      </c>
      <c r="F1369" s="29" t="s">
        <v>54</v>
      </c>
      <c r="G1369" s="31">
        <v>113</v>
      </c>
      <c r="H1369" s="31" t="s">
        <v>2339</v>
      </c>
      <c r="I1369" s="28" t="s">
        <v>44</v>
      </c>
    </row>
    <row r="1370" spans="1:9" x14ac:dyDescent="0.3">
      <c r="A1370" s="29" t="s">
        <v>449</v>
      </c>
      <c r="B1370" s="30">
        <v>46155</v>
      </c>
      <c r="C1370" s="30">
        <v>46155</v>
      </c>
      <c r="D1370" s="30">
        <v>46221</v>
      </c>
      <c r="E1370" s="29" t="s">
        <v>2340</v>
      </c>
      <c r="F1370" s="29" t="s">
        <v>54</v>
      </c>
      <c r="G1370" s="31">
        <v>6</v>
      </c>
      <c r="H1370" s="31" t="s">
        <v>2341</v>
      </c>
      <c r="I1370" s="28" t="s">
        <v>36</v>
      </c>
    </row>
    <row r="1371" spans="1:9" ht="20.399999999999999" x14ac:dyDescent="0.3">
      <c r="A1371" s="29" t="s">
        <v>71</v>
      </c>
      <c r="B1371" s="30">
        <v>46155</v>
      </c>
      <c r="C1371" s="30">
        <v>46155</v>
      </c>
      <c r="D1371" s="30">
        <v>46211</v>
      </c>
      <c r="E1371" s="29" t="s">
        <v>2342</v>
      </c>
      <c r="F1371" s="29" t="s">
        <v>6</v>
      </c>
      <c r="G1371" s="31">
        <v>113</v>
      </c>
      <c r="H1371" s="31" t="s">
        <v>2343</v>
      </c>
      <c r="I1371" s="28" t="s">
        <v>45</v>
      </c>
    </row>
    <row r="1372" spans="1:9" x14ac:dyDescent="0.3">
      <c r="A1372" s="39" t="s">
        <v>5</v>
      </c>
      <c r="B1372" s="40">
        <v>46143</v>
      </c>
      <c r="C1372" s="40">
        <v>46156</v>
      </c>
      <c r="D1372" s="40">
        <v>46203</v>
      </c>
      <c r="E1372" s="41" t="s">
        <v>2344</v>
      </c>
      <c r="F1372" s="41" t="s">
        <v>54</v>
      </c>
      <c r="G1372" s="42">
        <v>8</v>
      </c>
      <c r="H1372" s="43" t="s">
        <v>2345</v>
      </c>
      <c r="I1372" s="44" t="s">
        <v>45</v>
      </c>
    </row>
    <row r="1373" spans="1:9" ht="12.75" customHeight="1" x14ac:dyDescent="0.3">
      <c r="A1373" s="39" t="s">
        <v>5</v>
      </c>
      <c r="B1373" s="40">
        <v>46155</v>
      </c>
      <c r="C1373" s="40">
        <v>46156</v>
      </c>
      <c r="D1373" s="40">
        <v>46234</v>
      </c>
      <c r="E1373" s="41" t="s">
        <v>2346</v>
      </c>
      <c r="F1373" s="41" t="s">
        <v>6</v>
      </c>
      <c r="G1373" s="42">
        <v>51</v>
      </c>
      <c r="H1373" s="43" t="s">
        <v>2347</v>
      </c>
      <c r="I1373" s="46" t="s">
        <v>37</v>
      </c>
    </row>
    <row r="1374" spans="1:9" ht="30.75" customHeight="1" x14ac:dyDescent="0.3">
      <c r="A1374" s="33" t="s">
        <v>90</v>
      </c>
      <c r="B1374" s="34">
        <v>46121</v>
      </c>
      <c r="C1374" s="34">
        <v>46156</v>
      </c>
      <c r="D1374" s="34">
        <v>46203</v>
      </c>
      <c r="E1374" s="35" t="s">
        <v>2348</v>
      </c>
      <c r="F1374" s="35" t="s">
        <v>54</v>
      </c>
      <c r="G1374" s="36">
        <v>27</v>
      </c>
      <c r="H1374" s="37" t="s">
        <v>2349</v>
      </c>
      <c r="I1374" s="38" t="s">
        <v>41</v>
      </c>
    </row>
    <row r="1375" spans="1:9" ht="19.5" customHeight="1" x14ac:dyDescent="0.3">
      <c r="A1375" s="33" t="s">
        <v>5</v>
      </c>
      <c r="B1375" s="34">
        <v>46155</v>
      </c>
      <c r="C1375" s="34">
        <v>46156</v>
      </c>
      <c r="D1375" s="34">
        <v>46183</v>
      </c>
      <c r="E1375" s="35" t="s">
        <v>2350</v>
      </c>
      <c r="F1375" s="35" t="s">
        <v>280</v>
      </c>
      <c r="G1375" s="36">
        <v>5</v>
      </c>
      <c r="H1375" s="37" t="s">
        <v>2351</v>
      </c>
      <c r="I1375" s="45" t="s">
        <v>45</v>
      </c>
    </row>
    <row r="1376" spans="1:9" ht="20.25" customHeight="1" x14ac:dyDescent="0.3">
      <c r="A1376" s="33" t="s">
        <v>5</v>
      </c>
      <c r="B1376" s="34">
        <v>46155</v>
      </c>
      <c r="C1376" s="34">
        <v>46156</v>
      </c>
      <c r="D1376" s="34">
        <v>46183</v>
      </c>
      <c r="E1376" s="35" t="s">
        <v>2352</v>
      </c>
      <c r="F1376" s="35" t="s">
        <v>280</v>
      </c>
      <c r="G1376" s="36">
        <v>4</v>
      </c>
      <c r="H1376" s="37" t="s">
        <v>2353</v>
      </c>
      <c r="I1376" s="45" t="s">
        <v>45</v>
      </c>
    </row>
    <row r="1377" spans="1:9" ht="22.5" customHeight="1" x14ac:dyDescent="0.3">
      <c r="A1377" s="33" t="s">
        <v>5</v>
      </c>
      <c r="B1377" s="34">
        <v>46155</v>
      </c>
      <c r="C1377" s="34">
        <v>46156</v>
      </c>
      <c r="D1377" s="34">
        <v>46183</v>
      </c>
      <c r="E1377" s="35" t="s">
        <v>2354</v>
      </c>
      <c r="F1377" s="35" t="s">
        <v>280</v>
      </c>
      <c r="G1377" s="36">
        <v>1</v>
      </c>
      <c r="H1377" s="37" t="s">
        <v>2355</v>
      </c>
      <c r="I1377" s="45" t="s">
        <v>45</v>
      </c>
    </row>
    <row r="1378" spans="1:9" ht="18.75" customHeight="1" x14ac:dyDescent="0.3">
      <c r="A1378" s="39" t="s">
        <v>5</v>
      </c>
      <c r="B1378" s="40">
        <v>46155</v>
      </c>
      <c r="C1378" s="40">
        <v>46156</v>
      </c>
      <c r="D1378" s="40">
        <v>46183</v>
      </c>
      <c r="E1378" s="41" t="s">
        <v>2356</v>
      </c>
      <c r="F1378" s="41" t="s">
        <v>280</v>
      </c>
      <c r="G1378" s="42">
        <v>3</v>
      </c>
      <c r="H1378" s="43" t="s">
        <v>2357</v>
      </c>
      <c r="I1378" s="46" t="s">
        <v>45</v>
      </c>
    </row>
    <row r="1379" spans="1:9" ht="15.75" customHeight="1" x14ac:dyDescent="0.3">
      <c r="A1379" s="33" t="s">
        <v>5</v>
      </c>
      <c r="B1379" s="34">
        <v>46155</v>
      </c>
      <c r="C1379" s="34">
        <v>46156</v>
      </c>
      <c r="D1379" s="34">
        <v>46183</v>
      </c>
      <c r="E1379" s="35" t="s">
        <v>2358</v>
      </c>
      <c r="F1379" s="35" t="s">
        <v>280</v>
      </c>
      <c r="G1379" s="36">
        <v>7</v>
      </c>
      <c r="H1379" s="37" t="s">
        <v>2359</v>
      </c>
      <c r="I1379" s="45" t="s">
        <v>45</v>
      </c>
    </row>
    <row r="1380" spans="1:9" ht="21" customHeight="1" x14ac:dyDescent="0.3">
      <c r="A1380" s="33" t="s">
        <v>5</v>
      </c>
      <c r="B1380" s="34">
        <v>46155</v>
      </c>
      <c r="C1380" s="34">
        <v>46156</v>
      </c>
      <c r="D1380" s="34">
        <v>46183</v>
      </c>
      <c r="E1380" s="35" t="s">
        <v>2360</v>
      </c>
      <c r="F1380" s="35" t="s">
        <v>280</v>
      </c>
      <c r="G1380" s="36">
        <v>3</v>
      </c>
      <c r="H1380" s="37" t="s">
        <v>2361</v>
      </c>
      <c r="I1380" s="45" t="s">
        <v>45</v>
      </c>
    </row>
    <row r="1381" spans="1:9" ht="19.5" customHeight="1" x14ac:dyDescent="0.3">
      <c r="A1381" s="33" t="s">
        <v>5</v>
      </c>
      <c r="B1381" s="34">
        <v>46155</v>
      </c>
      <c r="C1381" s="34">
        <v>46156</v>
      </c>
      <c r="D1381" s="34">
        <v>46183</v>
      </c>
      <c r="E1381" s="35" t="s">
        <v>2362</v>
      </c>
      <c r="F1381" s="35" t="s">
        <v>280</v>
      </c>
      <c r="G1381" s="36">
        <v>3</v>
      </c>
      <c r="H1381" s="37" t="s">
        <v>2363</v>
      </c>
      <c r="I1381" s="45" t="s">
        <v>45</v>
      </c>
    </row>
    <row r="1382" spans="1:9" ht="18.75" customHeight="1" x14ac:dyDescent="0.3">
      <c r="A1382" s="33" t="s">
        <v>5</v>
      </c>
      <c r="B1382" s="34">
        <v>46155</v>
      </c>
      <c r="C1382" s="34">
        <v>46156</v>
      </c>
      <c r="D1382" s="34">
        <v>46183</v>
      </c>
      <c r="E1382" s="35" t="s">
        <v>2364</v>
      </c>
      <c r="F1382" s="35" t="s">
        <v>280</v>
      </c>
      <c r="G1382" s="36">
        <v>3</v>
      </c>
      <c r="H1382" s="37" t="s">
        <v>2365</v>
      </c>
      <c r="I1382" s="45" t="s">
        <v>45</v>
      </c>
    </row>
    <row r="1383" spans="1:9" ht="21" customHeight="1" x14ac:dyDescent="0.3">
      <c r="A1383" s="33" t="s">
        <v>5</v>
      </c>
      <c r="B1383" s="34">
        <v>46155</v>
      </c>
      <c r="C1383" s="34">
        <v>46156</v>
      </c>
      <c r="D1383" s="34">
        <v>46183</v>
      </c>
      <c r="E1383" s="35" t="s">
        <v>2366</v>
      </c>
      <c r="F1383" s="35" t="s">
        <v>280</v>
      </c>
      <c r="G1383" s="36">
        <v>3</v>
      </c>
      <c r="H1383" s="37" t="s">
        <v>2367</v>
      </c>
      <c r="I1383" s="45" t="s">
        <v>45</v>
      </c>
    </row>
    <row r="1384" spans="1:9" ht="21" customHeight="1" x14ac:dyDescent="0.3">
      <c r="A1384" s="33" t="s">
        <v>5</v>
      </c>
      <c r="B1384" s="34">
        <v>46155</v>
      </c>
      <c r="C1384" s="34">
        <v>46156</v>
      </c>
      <c r="D1384" s="34">
        <v>46183</v>
      </c>
      <c r="E1384" s="35" t="s">
        <v>2368</v>
      </c>
      <c r="F1384" s="35" t="s">
        <v>280</v>
      </c>
      <c r="G1384" s="36">
        <v>8</v>
      </c>
      <c r="H1384" s="37" t="s">
        <v>2369</v>
      </c>
      <c r="I1384" s="45" t="s">
        <v>45</v>
      </c>
    </row>
    <row r="1385" spans="1:9" ht="21.75" customHeight="1" x14ac:dyDescent="0.3">
      <c r="A1385" s="33" t="s">
        <v>5</v>
      </c>
      <c r="B1385" s="34">
        <v>46155</v>
      </c>
      <c r="C1385" s="34">
        <v>46156</v>
      </c>
      <c r="D1385" s="34">
        <v>46183</v>
      </c>
      <c r="E1385" s="35" t="s">
        <v>2370</v>
      </c>
      <c r="F1385" s="35" t="s">
        <v>280</v>
      </c>
      <c r="G1385" s="36">
        <v>5</v>
      </c>
      <c r="H1385" s="37" t="s">
        <v>2371</v>
      </c>
      <c r="I1385" s="45" t="s">
        <v>45</v>
      </c>
    </row>
    <row r="1386" spans="1:9" ht="19.5" customHeight="1" x14ac:dyDescent="0.3">
      <c r="A1386" s="33" t="s">
        <v>5</v>
      </c>
      <c r="B1386" s="34">
        <v>46155</v>
      </c>
      <c r="C1386" s="34">
        <v>46156</v>
      </c>
      <c r="D1386" s="34">
        <v>46183</v>
      </c>
      <c r="E1386" s="35" t="s">
        <v>2372</v>
      </c>
      <c r="F1386" s="35" t="s">
        <v>280</v>
      </c>
      <c r="G1386" s="36">
        <v>3</v>
      </c>
      <c r="H1386" s="37" t="s">
        <v>2373</v>
      </c>
      <c r="I1386" s="45" t="s">
        <v>45</v>
      </c>
    </row>
    <row r="1387" spans="1:9" ht="19.5" customHeight="1" x14ac:dyDescent="0.3">
      <c r="A1387" s="33" t="s">
        <v>5</v>
      </c>
      <c r="B1387" s="34">
        <v>46155</v>
      </c>
      <c r="C1387" s="34">
        <v>46156</v>
      </c>
      <c r="D1387" s="34">
        <v>46183</v>
      </c>
      <c r="E1387" s="35" t="s">
        <v>2374</v>
      </c>
      <c r="F1387" s="35" t="s">
        <v>280</v>
      </c>
      <c r="G1387" s="36">
        <v>8</v>
      </c>
      <c r="H1387" s="37" t="s">
        <v>2375</v>
      </c>
      <c r="I1387" s="45" t="s">
        <v>45</v>
      </c>
    </row>
    <row r="1388" spans="1:9" ht="20.25" customHeight="1" x14ac:dyDescent="0.3">
      <c r="A1388" s="33" t="s">
        <v>5</v>
      </c>
      <c r="B1388" s="34">
        <v>46155</v>
      </c>
      <c r="C1388" s="34">
        <v>46156</v>
      </c>
      <c r="D1388" s="34">
        <v>46183</v>
      </c>
      <c r="E1388" s="35" t="s">
        <v>2376</v>
      </c>
      <c r="F1388" s="35" t="s">
        <v>280</v>
      </c>
      <c r="G1388" s="36">
        <v>5</v>
      </c>
      <c r="H1388" s="37" t="s">
        <v>2377</v>
      </c>
      <c r="I1388" s="45" t="s">
        <v>45</v>
      </c>
    </row>
    <row r="1389" spans="1:9" ht="18" customHeight="1" x14ac:dyDescent="0.3">
      <c r="A1389" s="33" t="s">
        <v>5</v>
      </c>
      <c r="B1389" s="34">
        <v>46155</v>
      </c>
      <c r="C1389" s="34">
        <v>46156</v>
      </c>
      <c r="D1389" s="34">
        <v>46183</v>
      </c>
      <c r="E1389" s="35" t="s">
        <v>2378</v>
      </c>
      <c r="F1389" s="35" t="s">
        <v>280</v>
      </c>
      <c r="G1389" s="36">
        <v>1</v>
      </c>
      <c r="H1389" s="37" t="s">
        <v>2379</v>
      </c>
      <c r="I1389" s="45" t="s">
        <v>45</v>
      </c>
    </row>
    <row r="1390" spans="1:9" ht="15" customHeight="1" x14ac:dyDescent="0.3">
      <c r="A1390" s="33" t="s">
        <v>5</v>
      </c>
      <c r="B1390" s="34">
        <v>46155</v>
      </c>
      <c r="C1390" s="34">
        <v>46156</v>
      </c>
      <c r="D1390" s="34">
        <v>46183</v>
      </c>
      <c r="E1390" s="35" t="s">
        <v>2380</v>
      </c>
      <c r="F1390" s="35" t="s">
        <v>280</v>
      </c>
      <c r="G1390" s="36">
        <v>4</v>
      </c>
      <c r="H1390" s="37" t="s">
        <v>2381</v>
      </c>
      <c r="I1390" s="45" t="s">
        <v>45</v>
      </c>
    </row>
    <row r="1391" spans="1:9" ht="17.25" customHeight="1" x14ac:dyDescent="0.3">
      <c r="A1391" s="33" t="s">
        <v>5</v>
      </c>
      <c r="B1391" s="34">
        <v>46155</v>
      </c>
      <c r="C1391" s="34">
        <v>46156</v>
      </c>
      <c r="D1391" s="34">
        <v>46183</v>
      </c>
      <c r="E1391" s="35" t="s">
        <v>2382</v>
      </c>
      <c r="F1391" s="35" t="s">
        <v>280</v>
      </c>
      <c r="G1391" s="36">
        <v>7</v>
      </c>
      <c r="H1391" s="37" t="s">
        <v>2383</v>
      </c>
      <c r="I1391" s="45" t="s">
        <v>45</v>
      </c>
    </row>
    <row r="1392" spans="1:9" ht="20.25" customHeight="1" x14ac:dyDescent="0.3">
      <c r="A1392" s="33" t="s">
        <v>5</v>
      </c>
      <c r="B1392" s="34">
        <v>46155</v>
      </c>
      <c r="C1392" s="34">
        <v>46156</v>
      </c>
      <c r="D1392" s="34">
        <v>46183</v>
      </c>
      <c r="E1392" s="35" t="s">
        <v>2384</v>
      </c>
      <c r="F1392" s="35" t="s">
        <v>280</v>
      </c>
      <c r="G1392" s="36">
        <v>10</v>
      </c>
      <c r="H1392" s="37" t="s">
        <v>2385</v>
      </c>
      <c r="I1392" s="45" t="s">
        <v>45</v>
      </c>
    </row>
    <row r="1393" spans="1:9" ht="18" customHeight="1" x14ac:dyDescent="0.3">
      <c r="A1393" s="33" t="s">
        <v>5</v>
      </c>
      <c r="B1393" s="34">
        <v>46155</v>
      </c>
      <c r="C1393" s="34">
        <v>46156</v>
      </c>
      <c r="D1393" s="34">
        <v>46183</v>
      </c>
      <c r="E1393" s="35" t="s">
        <v>2386</v>
      </c>
      <c r="F1393" s="35" t="s">
        <v>280</v>
      </c>
      <c r="G1393" s="36">
        <v>2</v>
      </c>
      <c r="H1393" s="37" t="s">
        <v>2387</v>
      </c>
      <c r="I1393" s="45" t="s">
        <v>45</v>
      </c>
    </row>
    <row r="1394" spans="1:9" ht="15.75" customHeight="1" x14ac:dyDescent="0.3">
      <c r="A1394" s="33" t="s">
        <v>5</v>
      </c>
      <c r="B1394" s="34">
        <v>46139</v>
      </c>
      <c r="C1394" s="34">
        <v>46157</v>
      </c>
      <c r="D1394" s="34">
        <v>46199</v>
      </c>
      <c r="E1394" s="35" t="s">
        <v>2388</v>
      </c>
      <c r="F1394" s="35" t="s">
        <v>6</v>
      </c>
      <c r="G1394" s="36">
        <v>1</v>
      </c>
      <c r="H1394" s="37" t="s">
        <v>1939</v>
      </c>
      <c r="I1394" s="45" t="s">
        <v>39</v>
      </c>
    </row>
    <row r="1395" spans="1:9" x14ac:dyDescent="0.3">
      <c r="A1395" s="33" t="s">
        <v>5</v>
      </c>
      <c r="B1395" s="34">
        <v>46139</v>
      </c>
      <c r="C1395" s="34">
        <v>46157</v>
      </c>
      <c r="D1395" s="34">
        <v>46199</v>
      </c>
      <c r="E1395" s="35" t="s">
        <v>1632</v>
      </c>
      <c r="F1395" s="35" t="s">
        <v>6</v>
      </c>
      <c r="G1395" s="36">
        <v>2</v>
      </c>
      <c r="H1395" s="37" t="s">
        <v>1633</v>
      </c>
      <c r="I1395" s="45" t="s">
        <v>39</v>
      </c>
    </row>
    <row r="1396" spans="1:9" x14ac:dyDescent="0.3">
      <c r="A1396" s="33" t="s">
        <v>124</v>
      </c>
      <c r="B1396" s="34">
        <v>46157</v>
      </c>
      <c r="C1396" s="34">
        <v>46157</v>
      </c>
      <c r="D1396" s="34">
        <v>46220</v>
      </c>
      <c r="E1396" s="35" t="s">
        <v>1387</v>
      </c>
      <c r="F1396" s="35" t="s">
        <v>54</v>
      </c>
      <c r="G1396" s="36">
        <v>7</v>
      </c>
      <c r="H1396" s="37" t="s">
        <v>1388</v>
      </c>
      <c r="I1396" s="45" t="s">
        <v>34</v>
      </c>
    </row>
    <row r="1397" spans="1:9" x14ac:dyDescent="0.3">
      <c r="A1397" s="33" t="s">
        <v>94</v>
      </c>
      <c r="B1397" s="34">
        <v>46157</v>
      </c>
      <c r="C1397" s="34">
        <v>46157</v>
      </c>
      <c r="D1397" s="34">
        <v>46216</v>
      </c>
      <c r="E1397" s="35" t="s">
        <v>2389</v>
      </c>
      <c r="F1397" s="35" t="s">
        <v>6</v>
      </c>
      <c r="G1397" s="36">
        <v>108</v>
      </c>
      <c r="H1397" s="37" t="s">
        <v>2390</v>
      </c>
      <c r="I1397" s="45" t="s">
        <v>38</v>
      </c>
    </row>
    <row r="1398" spans="1:9" x14ac:dyDescent="0.3">
      <c r="A1398" s="33" t="s">
        <v>796</v>
      </c>
      <c r="B1398" s="34">
        <v>46157</v>
      </c>
      <c r="C1398" s="34">
        <v>46157</v>
      </c>
      <c r="D1398" s="34">
        <v>46216</v>
      </c>
      <c r="E1398" s="35" t="s">
        <v>2389</v>
      </c>
      <c r="F1398" s="35" t="s">
        <v>6</v>
      </c>
      <c r="G1398" s="36">
        <v>21</v>
      </c>
      <c r="H1398" s="37" t="s">
        <v>2391</v>
      </c>
      <c r="I1398" s="45" t="s">
        <v>38</v>
      </c>
    </row>
    <row r="1399" spans="1:9" x14ac:dyDescent="0.3">
      <c r="A1399" s="33" t="s">
        <v>90</v>
      </c>
      <c r="B1399" s="34">
        <v>46157</v>
      </c>
      <c r="C1399" s="34">
        <v>46157</v>
      </c>
      <c r="D1399" s="34">
        <v>46216</v>
      </c>
      <c r="E1399" s="35" t="s">
        <v>2389</v>
      </c>
      <c r="F1399" s="35" t="s">
        <v>6</v>
      </c>
      <c r="G1399" s="36">
        <v>59</v>
      </c>
      <c r="H1399" s="37" t="s">
        <v>2392</v>
      </c>
      <c r="I1399" s="45" t="s">
        <v>38</v>
      </c>
    </row>
    <row r="1400" spans="1:9" x14ac:dyDescent="0.3">
      <c r="A1400" s="33" t="s">
        <v>90</v>
      </c>
      <c r="B1400" s="34">
        <v>46157</v>
      </c>
      <c r="C1400" s="34">
        <v>46157</v>
      </c>
      <c r="D1400" s="34">
        <v>46216</v>
      </c>
      <c r="E1400" s="35" t="s">
        <v>2389</v>
      </c>
      <c r="F1400" s="35" t="s">
        <v>6</v>
      </c>
      <c r="G1400" s="36">
        <v>352</v>
      </c>
      <c r="H1400" s="37" t="s">
        <v>2393</v>
      </c>
      <c r="I1400" s="45" t="s">
        <v>38</v>
      </c>
    </row>
    <row r="1401" spans="1:9" ht="20.399999999999999" x14ac:dyDescent="0.3">
      <c r="A1401" s="33" t="s">
        <v>90</v>
      </c>
      <c r="B1401" s="34">
        <v>46157</v>
      </c>
      <c r="C1401" s="34">
        <v>46157</v>
      </c>
      <c r="D1401" s="34">
        <v>46216</v>
      </c>
      <c r="E1401" s="35" t="s">
        <v>2394</v>
      </c>
      <c r="F1401" s="35" t="s">
        <v>6</v>
      </c>
      <c r="G1401" s="36">
        <v>66</v>
      </c>
      <c r="H1401" s="37" t="s">
        <v>2395</v>
      </c>
      <c r="I1401" s="45" t="s">
        <v>38</v>
      </c>
    </row>
    <row r="1402" spans="1:9" ht="15" customHeight="1" x14ac:dyDescent="0.3">
      <c r="A1402" s="33" t="s">
        <v>216</v>
      </c>
      <c r="B1402" s="34">
        <v>46160</v>
      </c>
      <c r="C1402" s="34">
        <v>46160</v>
      </c>
      <c r="D1402" s="34">
        <v>46220</v>
      </c>
      <c r="E1402" s="35" t="s">
        <v>2396</v>
      </c>
      <c r="F1402" s="35" t="s">
        <v>54</v>
      </c>
      <c r="G1402" s="36">
        <v>68</v>
      </c>
      <c r="H1402" s="37" t="s">
        <v>2397</v>
      </c>
      <c r="I1402" s="45" t="s">
        <v>37</v>
      </c>
    </row>
    <row r="1403" spans="1:9" ht="13.5" customHeight="1" x14ac:dyDescent="0.3">
      <c r="A1403" s="33" t="s">
        <v>5</v>
      </c>
      <c r="B1403" s="34">
        <v>46160</v>
      </c>
      <c r="C1403" s="34">
        <v>46160</v>
      </c>
      <c r="D1403" s="34">
        <v>46220</v>
      </c>
      <c r="E1403" s="35" t="s">
        <v>656</v>
      </c>
      <c r="F1403" s="35" t="s">
        <v>54</v>
      </c>
      <c r="G1403" s="36">
        <v>6</v>
      </c>
      <c r="H1403" s="37" t="s">
        <v>2398</v>
      </c>
      <c r="I1403" s="45" t="s">
        <v>36</v>
      </c>
    </row>
    <row r="1404" spans="1:9" ht="20.399999999999999" x14ac:dyDescent="0.3">
      <c r="A1404" s="33" t="s">
        <v>52</v>
      </c>
      <c r="B1404" s="34">
        <v>46161</v>
      </c>
      <c r="C1404" s="34">
        <v>46161</v>
      </c>
      <c r="D1404" s="34">
        <v>46222</v>
      </c>
      <c r="E1404" s="35" t="s">
        <v>2399</v>
      </c>
      <c r="F1404" s="35" t="s">
        <v>6</v>
      </c>
      <c r="G1404" s="36">
        <v>110</v>
      </c>
      <c r="H1404" s="37" t="s">
        <v>2400</v>
      </c>
      <c r="I1404" s="47" t="s">
        <v>47</v>
      </c>
    </row>
    <row r="1405" spans="1:9" ht="20.399999999999999" x14ac:dyDescent="0.3">
      <c r="A1405" s="33" t="s">
        <v>5</v>
      </c>
      <c r="B1405" s="34">
        <v>46143</v>
      </c>
      <c r="C1405" s="34">
        <v>46161</v>
      </c>
      <c r="D1405" s="34">
        <v>46218</v>
      </c>
      <c r="E1405" s="35" t="s">
        <v>2401</v>
      </c>
      <c r="F1405" s="35" t="s">
        <v>6</v>
      </c>
      <c r="G1405" s="36">
        <v>16</v>
      </c>
      <c r="H1405" s="37" t="s">
        <v>2402</v>
      </c>
      <c r="I1405" s="47" t="s">
        <v>34</v>
      </c>
    </row>
    <row r="1406" spans="1:9" ht="20.399999999999999" x14ac:dyDescent="0.3">
      <c r="A1406" s="33" t="s">
        <v>5</v>
      </c>
      <c r="B1406" s="34">
        <v>46143</v>
      </c>
      <c r="C1406" s="34">
        <v>46161</v>
      </c>
      <c r="D1406" s="34">
        <v>46218</v>
      </c>
      <c r="E1406" s="35" t="s">
        <v>2401</v>
      </c>
      <c r="F1406" s="35" t="s">
        <v>6</v>
      </c>
      <c r="G1406" s="36">
        <v>3</v>
      </c>
      <c r="H1406" s="37" t="s">
        <v>2403</v>
      </c>
      <c r="I1406" s="47" t="s">
        <v>34</v>
      </c>
    </row>
    <row r="1407" spans="1:9" ht="20.399999999999999" x14ac:dyDescent="0.3">
      <c r="A1407" s="33" t="s">
        <v>5</v>
      </c>
      <c r="B1407" s="34">
        <v>46143</v>
      </c>
      <c r="C1407" s="34">
        <v>46161</v>
      </c>
      <c r="D1407" s="34">
        <v>46218</v>
      </c>
      <c r="E1407" s="35" t="s">
        <v>2401</v>
      </c>
      <c r="F1407" s="35" t="s">
        <v>6</v>
      </c>
      <c r="G1407" s="36">
        <v>43</v>
      </c>
      <c r="H1407" s="37" t="s">
        <v>2404</v>
      </c>
      <c r="I1407" s="47" t="s">
        <v>34</v>
      </c>
    </row>
    <row r="1408" spans="1:9" x14ac:dyDescent="0.3">
      <c r="A1408" s="33" t="s">
        <v>64</v>
      </c>
      <c r="B1408" s="34">
        <v>46161</v>
      </c>
      <c r="C1408" s="34">
        <v>46161</v>
      </c>
      <c r="D1408" s="34">
        <v>46223</v>
      </c>
      <c r="E1408" s="35" t="s">
        <v>2405</v>
      </c>
      <c r="F1408" s="35" t="s">
        <v>6</v>
      </c>
      <c r="G1408" s="36">
        <v>85</v>
      </c>
      <c r="H1408" s="37" t="s">
        <v>2406</v>
      </c>
      <c r="I1408" s="47" t="s">
        <v>41</v>
      </c>
    </row>
    <row r="1409" spans="1:9" ht="20.399999999999999" x14ac:dyDescent="0.3">
      <c r="A1409" s="33" t="s">
        <v>267</v>
      </c>
      <c r="B1409" s="34">
        <v>46160</v>
      </c>
      <c r="C1409" s="34">
        <v>46161</v>
      </c>
      <c r="D1409" s="34">
        <v>46186</v>
      </c>
      <c r="E1409" s="35" t="s">
        <v>2407</v>
      </c>
      <c r="F1409" s="35" t="s">
        <v>6</v>
      </c>
      <c r="G1409" s="36">
        <v>725</v>
      </c>
      <c r="H1409" s="37" t="s">
        <v>2408</v>
      </c>
      <c r="I1409" s="47" t="s">
        <v>43</v>
      </c>
    </row>
    <row r="1410" spans="1:9" x14ac:dyDescent="0.3">
      <c r="A1410" s="33" t="s">
        <v>5</v>
      </c>
      <c r="B1410" s="34">
        <v>46157</v>
      </c>
      <c r="C1410" s="34">
        <v>46161</v>
      </c>
      <c r="D1410" s="34">
        <v>46234</v>
      </c>
      <c r="E1410" s="35" t="s">
        <v>2409</v>
      </c>
      <c r="F1410" s="35" t="s">
        <v>54</v>
      </c>
      <c r="G1410" s="36">
        <v>11</v>
      </c>
      <c r="H1410" s="37" t="s">
        <v>2410</v>
      </c>
      <c r="I1410" s="47" t="s">
        <v>35</v>
      </c>
    </row>
    <row r="1411" spans="1:9" ht="20.399999999999999" x14ac:dyDescent="0.3">
      <c r="A1411" s="33" t="s">
        <v>5</v>
      </c>
      <c r="B1411" s="34">
        <v>46161</v>
      </c>
      <c r="C1411" s="34">
        <v>46162</v>
      </c>
      <c r="D1411" s="34">
        <v>46203</v>
      </c>
      <c r="E1411" s="35" t="s">
        <v>2411</v>
      </c>
      <c r="F1411" s="35" t="s">
        <v>6</v>
      </c>
      <c r="G1411" s="36">
        <v>1</v>
      </c>
      <c r="H1411" s="37" t="s">
        <v>2412</v>
      </c>
      <c r="I1411" s="47" t="s">
        <v>44</v>
      </c>
    </row>
    <row r="1412" spans="1:9" ht="20.399999999999999" x14ac:dyDescent="0.3">
      <c r="A1412" s="33" t="s">
        <v>5</v>
      </c>
      <c r="B1412" s="34">
        <v>46161</v>
      </c>
      <c r="C1412" s="34">
        <v>46162</v>
      </c>
      <c r="D1412" s="34">
        <v>46203</v>
      </c>
      <c r="E1412" s="35" t="s">
        <v>2413</v>
      </c>
      <c r="F1412" s="35" t="s">
        <v>6</v>
      </c>
      <c r="G1412" s="36">
        <v>2</v>
      </c>
      <c r="H1412" s="37" t="s">
        <v>2414</v>
      </c>
      <c r="I1412" s="47" t="s">
        <v>44</v>
      </c>
    </row>
    <row r="1413" spans="1:9" ht="20.399999999999999" x14ac:dyDescent="0.3">
      <c r="A1413" s="33" t="s">
        <v>5</v>
      </c>
      <c r="B1413" s="34">
        <v>46161</v>
      </c>
      <c r="C1413" s="34">
        <v>46162</v>
      </c>
      <c r="D1413" s="34">
        <v>46203</v>
      </c>
      <c r="E1413" s="35" t="s">
        <v>2415</v>
      </c>
      <c r="F1413" s="35" t="s">
        <v>6</v>
      </c>
      <c r="G1413" s="36">
        <v>2</v>
      </c>
      <c r="H1413" s="37" t="s">
        <v>2416</v>
      </c>
      <c r="I1413" s="47" t="s">
        <v>44</v>
      </c>
    </row>
    <row r="1414" spans="1:9" ht="20.399999999999999" x14ac:dyDescent="0.3">
      <c r="A1414" s="33" t="s">
        <v>5</v>
      </c>
      <c r="B1414" s="34">
        <v>46161</v>
      </c>
      <c r="C1414" s="34">
        <v>46162</v>
      </c>
      <c r="D1414" s="34">
        <v>46203</v>
      </c>
      <c r="E1414" s="35" t="s">
        <v>2417</v>
      </c>
      <c r="F1414" s="35" t="s">
        <v>6</v>
      </c>
      <c r="G1414" s="36">
        <v>4</v>
      </c>
      <c r="H1414" s="37" t="s">
        <v>2418</v>
      </c>
      <c r="I1414" s="47" t="s">
        <v>44</v>
      </c>
    </row>
    <row r="1415" spans="1:9" x14ac:dyDescent="0.3">
      <c r="A1415" s="33" t="s">
        <v>5</v>
      </c>
      <c r="B1415" s="34">
        <v>46161</v>
      </c>
      <c r="C1415" s="34">
        <v>46162</v>
      </c>
      <c r="D1415" s="34">
        <v>46203</v>
      </c>
      <c r="E1415" s="35" t="s">
        <v>2419</v>
      </c>
      <c r="F1415" s="35" t="s">
        <v>6</v>
      </c>
      <c r="G1415" s="36">
        <v>2</v>
      </c>
      <c r="H1415" s="37" t="s">
        <v>2420</v>
      </c>
      <c r="I1415" s="47" t="s">
        <v>44</v>
      </c>
    </row>
    <row r="1416" spans="1:9" ht="20.399999999999999" x14ac:dyDescent="0.3">
      <c r="A1416" s="33" t="s">
        <v>5</v>
      </c>
      <c r="B1416" s="34">
        <v>46161</v>
      </c>
      <c r="C1416" s="34">
        <v>46162</v>
      </c>
      <c r="D1416" s="34">
        <v>46203</v>
      </c>
      <c r="E1416" s="35" t="s">
        <v>2421</v>
      </c>
      <c r="F1416" s="35" t="s">
        <v>6</v>
      </c>
      <c r="G1416" s="36">
        <v>12</v>
      </c>
      <c r="H1416" s="37" t="s">
        <v>2422</v>
      </c>
      <c r="I1416" s="47" t="s">
        <v>44</v>
      </c>
    </row>
    <row r="1417" spans="1:9" ht="20.399999999999999" x14ac:dyDescent="0.3">
      <c r="A1417" s="33" t="s">
        <v>5</v>
      </c>
      <c r="B1417" s="34">
        <v>46161</v>
      </c>
      <c r="C1417" s="34">
        <v>46162</v>
      </c>
      <c r="D1417" s="34">
        <v>46203</v>
      </c>
      <c r="E1417" s="35" t="s">
        <v>2423</v>
      </c>
      <c r="F1417" s="35" t="s">
        <v>6</v>
      </c>
      <c r="G1417" s="36">
        <v>6</v>
      </c>
      <c r="H1417" s="37" t="s">
        <v>2424</v>
      </c>
      <c r="I1417" s="47" t="s">
        <v>44</v>
      </c>
    </row>
    <row r="1418" spans="1:9" x14ac:dyDescent="0.3">
      <c r="A1418" s="33" t="s">
        <v>5</v>
      </c>
      <c r="B1418" s="34">
        <v>46161</v>
      </c>
      <c r="C1418" s="34">
        <v>46162</v>
      </c>
      <c r="D1418" s="34">
        <v>46203</v>
      </c>
      <c r="E1418" s="35" t="s">
        <v>2425</v>
      </c>
      <c r="F1418" s="35" t="s">
        <v>6</v>
      </c>
      <c r="G1418" s="36">
        <v>1</v>
      </c>
      <c r="H1418" s="37" t="s">
        <v>2426</v>
      </c>
      <c r="I1418" s="47" t="s">
        <v>44</v>
      </c>
    </row>
    <row r="1419" spans="1:9" ht="20.399999999999999" x14ac:dyDescent="0.3">
      <c r="A1419" s="33" t="s">
        <v>5</v>
      </c>
      <c r="B1419" s="34">
        <v>46161</v>
      </c>
      <c r="C1419" s="34">
        <v>46162</v>
      </c>
      <c r="D1419" s="34">
        <v>46203</v>
      </c>
      <c r="E1419" s="35" t="s">
        <v>2427</v>
      </c>
      <c r="F1419" s="35" t="s">
        <v>6</v>
      </c>
      <c r="G1419" s="36">
        <v>6</v>
      </c>
      <c r="H1419" s="37" t="s">
        <v>2428</v>
      </c>
      <c r="I1419" s="47" t="s">
        <v>44</v>
      </c>
    </row>
    <row r="1420" spans="1:9" ht="20.399999999999999" x14ac:dyDescent="0.3">
      <c r="A1420" s="33" t="s">
        <v>5</v>
      </c>
      <c r="B1420" s="34">
        <v>46161</v>
      </c>
      <c r="C1420" s="34">
        <v>46162</v>
      </c>
      <c r="D1420" s="34">
        <v>46203</v>
      </c>
      <c r="E1420" s="35" t="s">
        <v>2429</v>
      </c>
      <c r="F1420" s="35" t="s">
        <v>6</v>
      </c>
      <c r="G1420" s="36">
        <v>2</v>
      </c>
      <c r="H1420" s="37" t="s">
        <v>2430</v>
      </c>
      <c r="I1420" s="47" t="s">
        <v>44</v>
      </c>
    </row>
    <row r="1421" spans="1:9" ht="20.399999999999999" x14ac:dyDescent="0.3">
      <c r="A1421" s="33" t="s">
        <v>5</v>
      </c>
      <c r="B1421" s="34">
        <v>46161</v>
      </c>
      <c r="C1421" s="34">
        <v>46162</v>
      </c>
      <c r="D1421" s="34">
        <v>46203</v>
      </c>
      <c r="E1421" s="35" t="s">
        <v>2431</v>
      </c>
      <c r="F1421" s="35" t="s">
        <v>6</v>
      </c>
      <c r="G1421" s="36">
        <v>2</v>
      </c>
      <c r="H1421" s="37" t="s">
        <v>2432</v>
      </c>
      <c r="I1421" s="47" t="s">
        <v>44</v>
      </c>
    </row>
    <row r="1422" spans="1:9" x14ac:dyDescent="0.3">
      <c r="A1422" s="33" t="s">
        <v>5</v>
      </c>
      <c r="B1422" s="34">
        <v>46161</v>
      </c>
      <c r="C1422" s="34">
        <v>46162</v>
      </c>
      <c r="D1422" s="34">
        <v>46203</v>
      </c>
      <c r="E1422" s="35" t="s">
        <v>2433</v>
      </c>
      <c r="F1422" s="35" t="s">
        <v>6</v>
      </c>
      <c r="G1422" s="36">
        <v>1</v>
      </c>
      <c r="H1422" s="37" t="s">
        <v>2434</v>
      </c>
      <c r="I1422" s="47" t="s">
        <v>44</v>
      </c>
    </row>
    <row r="1423" spans="1:9" ht="20.399999999999999" x14ac:dyDescent="0.3">
      <c r="A1423" s="33" t="s">
        <v>5</v>
      </c>
      <c r="B1423" s="34">
        <v>46161</v>
      </c>
      <c r="C1423" s="34">
        <v>46162</v>
      </c>
      <c r="D1423" s="34">
        <v>46203</v>
      </c>
      <c r="E1423" s="35" t="s">
        <v>2435</v>
      </c>
      <c r="F1423" s="35" t="s">
        <v>6</v>
      </c>
      <c r="G1423" s="36">
        <v>5</v>
      </c>
      <c r="H1423" s="37" t="s">
        <v>2436</v>
      </c>
      <c r="I1423" s="47" t="s">
        <v>44</v>
      </c>
    </row>
    <row r="1424" spans="1:9" ht="20.399999999999999" x14ac:dyDescent="0.3">
      <c r="A1424" s="33" t="s">
        <v>5</v>
      </c>
      <c r="B1424" s="34">
        <v>46161</v>
      </c>
      <c r="C1424" s="34">
        <v>46162</v>
      </c>
      <c r="D1424" s="34">
        <v>46203</v>
      </c>
      <c r="E1424" s="35" t="s">
        <v>2437</v>
      </c>
      <c r="F1424" s="35" t="s">
        <v>6</v>
      </c>
      <c r="G1424" s="36">
        <v>4</v>
      </c>
      <c r="H1424" s="37" t="s">
        <v>2438</v>
      </c>
      <c r="I1424" s="47" t="s">
        <v>44</v>
      </c>
    </row>
    <row r="1425" spans="1:9" ht="20.399999999999999" x14ac:dyDescent="0.3">
      <c r="A1425" s="33" t="s">
        <v>5</v>
      </c>
      <c r="B1425" s="34">
        <v>46161</v>
      </c>
      <c r="C1425" s="34">
        <v>46162</v>
      </c>
      <c r="D1425" s="34">
        <v>46203</v>
      </c>
      <c r="E1425" s="35" t="s">
        <v>2439</v>
      </c>
      <c r="F1425" s="35" t="s">
        <v>6</v>
      </c>
      <c r="G1425" s="36">
        <v>4</v>
      </c>
      <c r="H1425" s="37" t="s">
        <v>2440</v>
      </c>
      <c r="I1425" s="47" t="s">
        <v>44</v>
      </c>
    </row>
    <row r="1426" spans="1:9" x14ac:dyDescent="0.3">
      <c r="A1426" s="33" t="s">
        <v>5</v>
      </c>
      <c r="B1426" s="34">
        <v>46161</v>
      </c>
      <c r="C1426" s="34">
        <v>46162</v>
      </c>
      <c r="D1426" s="34">
        <v>46203</v>
      </c>
      <c r="E1426" s="35" t="s">
        <v>2441</v>
      </c>
      <c r="F1426" s="35" t="s">
        <v>6</v>
      </c>
      <c r="G1426" s="36">
        <v>3</v>
      </c>
      <c r="H1426" s="37" t="s">
        <v>2442</v>
      </c>
      <c r="I1426" s="47" t="s">
        <v>44</v>
      </c>
    </row>
    <row r="1427" spans="1:9" ht="20.399999999999999" x14ac:dyDescent="0.3">
      <c r="A1427" s="33" t="s">
        <v>5</v>
      </c>
      <c r="B1427" s="34">
        <v>46161</v>
      </c>
      <c r="C1427" s="34">
        <v>46162</v>
      </c>
      <c r="D1427" s="34">
        <v>46203</v>
      </c>
      <c r="E1427" s="35" t="s">
        <v>2443</v>
      </c>
      <c r="F1427" s="35" t="s">
        <v>6</v>
      </c>
      <c r="G1427" s="36">
        <v>5</v>
      </c>
      <c r="H1427" s="37" t="s">
        <v>2444</v>
      </c>
      <c r="I1427" s="47" t="s">
        <v>44</v>
      </c>
    </row>
    <row r="1428" spans="1:9" x14ac:dyDescent="0.3">
      <c r="A1428" s="33" t="s">
        <v>90</v>
      </c>
      <c r="B1428" s="34">
        <v>46162</v>
      </c>
      <c r="C1428" s="34">
        <v>46162</v>
      </c>
      <c r="D1428" s="34">
        <v>46234</v>
      </c>
      <c r="E1428" s="35" t="s">
        <v>2445</v>
      </c>
      <c r="F1428" s="35" t="s">
        <v>6</v>
      </c>
      <c r="G1428" s="36">
        <v>493</v>
      </c>
      <c r="H1428" s="37" t="s">
        <v>2446</v>
      </c>
      <c r="I1428" s="47" t="s">
        <v>38</v>
      </c>
    </row>
    <row r="1429" spans="1:9" ht="20.399999999999999" x14ac:dyDescent="0.3">
      <c r="A1429" s="33" t="s">
        <v>52</v>
      </c>
      <c r="B1429" s="34">
        <v>46162</v>
      </c>
      <c r="C1429" s="34">
        <v>46162</v>
      </c>
      <c r="D1429" s="34">
        <v>46234</v>
      </c>
      <c r="E1429" s="35" t="s">
        <v>2447</v>
      </c>
      <c r="F1429" s="35" t="s">
        <v>6</v>
      </c>
      <c r="G1429" s="36">
        <v>117</v>
      </c>
      <c r="H1429" s="37" t="s">
        <v>2448</v>
      </c>
      <c r="I1429" s="47" t="s">
        <v>43</v>
      </c>
    </row>
    <row r="1430" spans="1:9" ht="20.399999999999999" x14ac:dyDescent="0.3">
      <c r="A1430" s="39" t="s">
        <v>94</v>
      </c>
      <c r="B1430" s="40">
        <v>46162</v>
      </c>
      <c r="C1430" s="40">
        <v>46162</v>
      </c>
      <c r="D1430" s="40">
        <v>46222</v>
      </c>
      <c r="E1430" s="41" t="s">
        <v>2449</v>
      </c>
      <c r="F1430" s="41" t="s">
        <v>6</v>
      </c>
      <c r="G1430" s="42">
        <v>178</v>
      </c>
      <c r="H1430" s="43" t="s">
        <v>2450</v>
      </c>
      <c r="I1430" s="48" t="s">
        <v>47</v>
      </c>
    </row>
    <row r="1431" spans="1:9" x14ac:dyDescent="0.3">
      <c r="A1431" s="29" t="s">
        <v>5</v>
      </c>
      <c r="B1431" s="30">
        <v>46162</v>
      </c>
      <c r="C1431" s="30">
        <v>46163</v>
      </c>
      <c r="D1431" s="30">
        <v>46234</v>
      </c>
      <c r="E1431" s="29" t="s">
        <v>2445</v>
      </c>
      <c r="F1431" s="29" t="s">
        <v>6</v>
      </c>
      <c r="G1431" s="31">
        <v>90</v>
      </c>
      <c r="H1431" s="31" t="s">
        <v>27</v>
      </c>
      <c r="I1431" s="28" t="s">
        <v>38</v>
      </c>
    </row>
    <row r="1432" spans="1:9" x14ac:dyDescent="0.3">
      <c r="A1432" s="29" t="s">
        <v>74</v>
      </c>
      <c r="B1432" s="30">
        <v>46162</v>
      </c>
      <c r="C1432" s="30">
        <v>46163</v>
      </c>
      <c r="D1432" s="30">
        <v>46234</v>
      </c>
      <c r="E1432" s="29" t="s">
        <v>2445</v>
      </c>
      <c r="F1432" s="29" t="s">
        <v>6</v>
      </c>
      <c r="G1432" s="31">
        <v>277</v>
      </c>
      <c r="H1432" s="31" t="s">
        <v>2455</v>
      </c>
      <c r="I1432" s="28" t="s">
        <v>38</v>
      </c>
    </row>
    <row r="1433" spans="1:9" x14ac:dyDescent="0.3">
      <c r="A1433" s="29" t="s">
        <v>94</v>
      </c>
      <c r="B1433" s="30">
        <v>46162</v>
      </c>
      <c r="C1433" s="30">
        <v>46163</v>
      </c>
      <c r="D1433" s="30">
        <v>46234</v>
      </c>
      <c r="E1433" s="29" t="s">
        <v>2445</v>
      </c>
      <c r="F1433" s="29" t="s">
        <v>6</v>
      </c>
      <c r="G1433" s="31">
        <v>50</v>
      </c>
      <c r="H1433" s="31" t="s">
        <v>2456</v>
      </c>
      <c r="I1433" s="28" t="s">
        <v>38</v>
      </c>
    </row>
    <row r="1434" spans="1:9" x14ac:dyDescent="0.3">
      <c r="A1434" s="29" t="s">
        <v>90</v>
      </c>
      <c r="B1434" s="30">
        <v>46162</v>
      </c>
      <c r="C1434" s="30">
        <v>46163</v>
      </c>
      <c r="D1434" s="30">
        <v>46221</v>
      </c>
      <c r="E1434" s="29" t="s">
        <v>2452</v>
      </c>
      <c r="F1434" s="29" t="s">
        <v>6</v>
      </c>
      <c r="G1434" s="31">
        <v>77</v>
      </c>
      <c r="H1434" s="31" t="s">
        <v>2457</v>
      </c>
      <c r="I1434" s="28" t="s">
        <v>34</v>
      </c>
    </row>
    <row r="1435" spans="1:9" ht="30.6" x14ac:dyDescent="0.3">
      <c r="A1435" s="29" t="s">
        <v>5</v>
      </c>
      <c r="B1435" s="30">
        <v>46160</v>
      </c>
      <c r="C1435" s="30">
        <v>46163</v>
      </c>
      <c r="D1435" s="30">
        <v>46220</v>
      </c>
      <c r="E1435" s="29" t="s">
        <v>2453</v>
      </c>
      <c r="F1435" s="29" t="s">
        <v>54</v>
      </c>
      <c r="G1435" s="31">
        <v>1</v>
      </c>
      <c r="H1435" s="31" t="s">
        <v>2458</v>
      </c>
      <c r="I1435" s="28" t="s">
        <v>37</v>
      </c>
    </row>
    <row r="1436" spans="1:9" ht="30.6" x14ac:dyDescent="0.3">
      <c r="A1436" s="29" t="s">
        <v>5</v>
      </c>
      <c r="B1436" s="30">
        <v>46160</v>
      </c>
      <c r="C1436" s="30">
        <v>46163</v>
      </c>
      <c r="D1436" s="30">
        <v>46220</v>
      </c>
      <c r="E1436" s="29" t="s">
        <v>2454</v>
      </c>
      <c r="F1436" s="29" t="s">
        <v>54</v>
      </c>
      <c r="G1436" s="31">
        <v>89</v>
      </c>
      <c r="H1436" s="31" t="s">
        <v>2459</v>
      </c>
      <c r="I1436" s="28" t="s">
        <v>37</v>
      </c>
    </row>
    <row r="1437" spans="1:9" x14ac:dyDescent="0.3">
      <c r="A1437" s="29" t="s">
        <v>52</v>
      </c>
      <c r="B1437" s="30">
        <v>46164</v>
      </c>
      <c r="C1437" s="30">
        <v>46164</v>
      </c>
      <c r="D1437" s="30">
        <v>46225</v>
      </c>
      <c r="E1437" s="29" t="s">
        <v>1481</v>
      </c>
      <c r="F1437" s="29" t="s">
        <v>6</v>
      </c>
      <c r="G1437" s="31">
        <v>81</v>
      </c>
      <c r="H1437" s="31" t="s">
        <v>2460</v>
      </c>
      <c r="I1437" s="28" t="s">
        <v>38</v>
      </c>
    </row>
    <row r="1438" spans="1:9" x14ac:dyDescent="0.3">
      <c r="A1438" s="29" t="s">
        <v>97</v>
      </c>
      <c r="B1438" s="30">
        <v>46164</v>
      </c>
      <c r="C1438" s="30">
        <v>46164</v>
      </c>
      <c r="D1438" s="30">
        <v>46225</v>
      </c>
      <c r="E1438" s="29" t="s">
        <v>1481</v>
      </c>
      <c r="F1438" s="29" t="s">
        <v>6</v>
      </c>
      <c r="G1438" s="31">
        <v>338</v>
      </c>
      <c r="H1438" s="31" t="s">
        <v>1485</v>
      </c>
      <c r="I1438" s="28" t="s">
        <v>38</v>
      </c>
    </row>
    <row r="1439" spans="1:9" x14ac:dyDescent="0.3">
      <c r="A1439" s="29" t="s">
        <v>94</v>
      </c>
      <c r="B1439" s="30">
        <v>46164</v>
      </c>
      <c r="C1439" s="30">
        <v>46164</v>
      </c>
      <c r="D1439" s="30">
        <v>46225</v>
      </c>
      <c r="E1439" s="29" t="s">
        <v>1481</v>
      </c>
      <c r="F1439" s="29" t="s">
        <v>6</v>
      </c>
      <c r="G1439" s="31">
        <v>252</v>
      </c>
      <c r="H1439" s="31" t="s">
        <v>2450</v>
      </c>
      <c r="I1439" s="28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I3:I1439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6640625" defaultRowHeight="14.4" x14ac:dyDescent="0.3"/>
  <cols>
    <col min="1" max="1" width="28.44140625" bestFit="1" customWidth="1"/>
    <col min="2" max="2" width="7.6640625" style="22" bestFit="1" customWidth="1"/>
  </cols>
  <sheetData>
    <row r="1" spans="1:2" ht="93.6" x14ac:dyDescent="0.3">
      <c r="A1" s="1" t="s">
        <v>25</v>
      </c>
    </row>
    <row r="2" spans="1:2" x14ac:dyDescent="0.3">
      <c r="A2" s="15" t="s">
        <v>16</v>
      </c>
      <c r="B2" s="23" t="s">
        <v>15</v>
      </c>
    </row>
    <row r="3" spans="1:2" x14ac:dyDescent="0.3">
      <c r="A3" s="17" t="s">
        <v>17</v>
      </c>
      <c r="B3" s="24">
        <f>SUM('Call Center Relocations Report'!G:G)</f>
        <v>163</v>
      </c>
    </row>
    <row r="4" spans="1:2" x14ac:dyDescent="0.3">
      <c r="A4" s="17" t="s">
        <v>9</v>
      </c>
      <c r="B4" s="24">
        <f>COUNTIF('Call Center Relocations Report'!F:F,"Layoff Permanent")</f>
        <v>1</v>
      </c>
    </row>
    <row r="5" spans="1:2" x14ac:dyDescent="0.3">
      <c r="A5" s="17" t="s">
        <v>10</v>
      </c>
      <c r="B5" s="24">
        <f>COUNTIF('Call Center Relocations Report'!F:F,"Layoff Temporary")</f>
        <v>0</v>
      </c>
    </row>
    <row r="6" spans="1:2" x14ac:dyDescent="0.3">
      <c r="A6" s="17" t="s">
        <v>11</v>
      </c>
      <c r="B6" s="24">
        <f>COUNTIF('Call Center Relocations Report'!F:F,"Layoff Not Identified")</f>
        <v>0</v>
      </c>
    </row>
    <row r="7" spans="1:2" x14ac:dyDescent="0.3">
      <c r="A7" s="17" t="s">
        <v>12</v>
      </c>
      <c r="B7" s="24">
        <f>COUNTIF('Call Center Relocations Report'!F:F,"Closure Permanent")</f>
        <v>0</v>
      </c>
    </row>
    <row r="8" spans="1:2" x14ac:dyDescent="0.3">
      <c r="A8" s="17" t="s">
        <v>13</v>
      </c>
      <c r="B8" s="24">
        <f>COUNTIF('Call Center Relocations Report'!F:F,"Closure Temporary")</f>
        <v>0</v>
      </c>
    </row>
    <row r="9" spans="1:2" x14ac:dyDescent="0.3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6640625" defaultRowHeight="14.4" x14ac:dyDescent="0.3"/>
  <cols>
    <col min="1" max="1" width="31.109375" customWidth="1"/>
    <col min="2" max="2" width="8.44140625" style="18" bestFit="1" customWidth="1"/>
    <col min="3" max="3" width="12.109375" style="18" bestFit="1" customWidth="1"/>
    <col min="4" max="4" width="10.33203125" style="18" bestFit="1" customWidth="1"/>
    <col min="5" max="5" width="31.33203125" style="1" bestFit="1" customWidth="1"/>
    <col min="6" max="6" width="13.44140625" bestFit="1" customWidth="1"/>
    <col min="7" max="7" width="12.109375" bestFit="1" customWidth="1"/>
    <col min="8" max="8" width="34.44140625" bestFit="1" customWidth="1"/>
  </cols>
  <sheetData>
    <row r="1" spans="1:8" ht="99" x14ac:dyDescent="0.3">
      <c r="A1" s="25" t="s">
        <v>2451</v>
      </c>
      <c r="E1"/>
    </row>
    <row r="2" spans="1:8" ht="24.6" x14ac:dyDescent="0.3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6640625" defaultRowHeight="14.4" x14ac:dyDescent="0.3"/>
  <cols>
    <col min="1" max="1" width="67.3320312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D42EC67-FA48-4C68-A2E6-3A4D97B2EBDA}">
  <ds:schemaRefs>
    <ds:schemaRef ds:uri="http://www.w3.org/XML/1998/namespace"/>
    <ds:schemaRef ds:uri="9ac7e9dd-8d2d-4750-b54a-f534515ac3a2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82b749e3-8208-459a-bfc0-9b428d09cbab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C6F7EB5-BCC3-4E3F-AC12-FC6B3E7F4E7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32C678-3C67-4208-B288-05E3787693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2026-05-26T18:40:14Z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