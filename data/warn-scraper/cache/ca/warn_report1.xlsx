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6\"/>
    </mc:Choice>
  </mc:AlternateContent>
  <xr:revisionPtr revIDLastSave="0" documentId="13_ncr:1_{BB5D020C-E3A6-4A29-9FF6-88CCC795D58E}" xr6:coauthVersionLast="47" xr6:coauthVersionMax="47" xr10:uidLastSave="{00000000-0000-0000-0000-000000000000}"/>
  <bookViews>
    <workbookView xWindow="30240" yWindow="1440" windowWidth="21600" windowHeight="11235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<sst xmlns="http://schemas.openxmlformats.org/spreadsheetml/2006/main" count="5036" uniqueCount="1734">
  <si>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</si>
  <si>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</si>
  <si>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</si>
  <si>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</si>
  <si>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</si>
  <si>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</si>
  <si>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</si>
  <si>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</si>
  <si>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</si>
  <si>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</si>
  <si>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</si>
  <si>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</si>
  <si>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</si>
  <si>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</si>
  <si>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</si>
  <si>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</si>
  <si>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</si>
  <si>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</si>
  <si>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</si>
  <si>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</si>
  <si>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</si>
  <si>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</si>
  <si>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</si>
  <si>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</si>
  <si>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</si>
  <si>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</si>
  <si>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</si>
  <si>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</si>
  <si>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</si>
  <si>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</si>
  <si>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</si>
  <si>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</si>
  <si>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</si>
  <si>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</si>
  <si>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</si>
  <si>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</si>
  <si>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</si>
  <si>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</si>
  <si>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</si>
  <si>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</si>
  <si>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</si>
  <si>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</si>
  <si>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</si>
  <si>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</si>
  <si>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</si>
  <si>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</si>
  <si>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</si>
  <si>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</si>
  <si>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</si>
  <si>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</si>
  <si>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</si>
  <si>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</si>
  <si>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</si>
  <si>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</si>
  <si>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</si>
  <si>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</si>
  <si>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</si>
  <si>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</si>
  <si>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</si>
  <si>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</si>
  <si>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</si>
  <si>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</si>
  <si>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</si>
  <si>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</si>
  <si>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</si>
  <si>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</si>
  <si>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</si>
  <si>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</si>
  <si>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</si>
  <si>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</si>
  <si>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</si>
  <si>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</si>
  <si>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</si>
  <si>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</si>
  <si>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</si>
  <si>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</si>
  <si>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</si>
  <si>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</si>
  <si>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</si>
  <si>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</si>
  <si>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</si>
  <si>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</si>
  <si>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</si>
  <si>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</si>
  <si>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</si>
  <si>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</si>
  <si>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</si>
  <si>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</si>
  <si>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</si>
  <si>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</si>
  <si>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</si>
  <si>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</si>
  <si>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</si>
  <si>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</si>
  <si>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</si>
  <si>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</si>
  <si>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</si>
  <si>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</si>
  <si>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</si>
  <si>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</si>
  <si>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</si>
  <si>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</si>
  <si>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</si>
  <si>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</si>
  <si>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</si>
  <si>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</si>
  <si>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</si>
  <si>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</si>
  <si>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</si>
  <si>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</si>
  <si>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</si>
  <si>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</si>
  <si>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</si>
  <si>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</si>
  <si>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</si>
  <si>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</si>
  <si>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</si>
  <si>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</si>
  <si>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</si>
  <si>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</si>
  <si>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</si>
  <si>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</si>
  <si>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</si>
  <si>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</si>
  <si>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</si>
  <si>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</si>
  <si>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</si>
  <si>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</si>
  <si>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</si>
  <si>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</si>
  <si>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</si>
  <si>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</si>
  <si>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</si>
  <si>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</si>
  <si>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</si>
  <si>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</si>
  <si>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</si>
  <si>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</si>
  <si>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</si>
  <si>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</si>
  <si>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</si>
  <si>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</si>
  <si>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</si>
  <si>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</si>
  <si>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</si>
  <si>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</si>
  <si>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</si>
  <si>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</si>
  <si>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</si>
  <si>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</si>
  <si>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</si>
  <si>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</si>
  <si>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</si>
  <si>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</si>
  <si>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</si>
  <si>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</si>
  <si>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</si>
  <si>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</si>
  <si>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</si>
  <si>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</si>
  <si>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</si>
  <si>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</si>
  <si>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</si>
  <si>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</si>
  <si>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</si>
  <si>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</si>
  <si>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</si>
  <si>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</si>
  <si>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</si>
  <si>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</si>
  <si>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</si>
  <si>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</si>
  <si>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</si>
  <si>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</si>
  <si>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</si>
  <si>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</si>
  <si>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</si>
  <si>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</si>
  <si>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</si>
  <si>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</si>
  <si>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</si>
  <si>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</si>
  <si>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</si>
  <si>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</si>
  <si>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</si>
  <si>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</si>
  <si>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</si>
  <si>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</si>
  <si>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</si>
  <si>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</si>
  <si>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</si>
  <si>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</si>
  <si>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</si>
  <si>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</si>
  <si>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</si>
  <si>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</si>
  <si>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</si>
  <si>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</si>
  <si>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</si>
  <si>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</si>
  <si>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</si>
  <si>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</si>
  <si>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</si>
  <si>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</si>
  <si>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</si>
  <si>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</si>
  <si>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</si>
  <si>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</si>
  <si>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</si>
  <si>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</si>
  <si>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</si>
  <si>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</si>
  <si>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</si>
  <si>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</si>
  <si>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</si>
  <si>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</si>
  <si>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</si>
  <si>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</si>
  <si>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</si>
  <si>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</si>
  <si>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</si>
  <si>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</si>
  <si>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</si>
  <si>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</si>
  <si>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</si>
  <si>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</si>
  <si>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</si>
  <si>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</si>
  <si>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</si>
  <si>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</si>
  <si>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</si>
  <si>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</si>
  <si>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</si>
  <si>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</si>
  <si>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</si>
  <si>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</si>
  <si>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</si>
  <si>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</si>
  <si>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</si>
  <si>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</si>
  <si>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</si>
  <si>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</si>
  <si>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</si>
  <si>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</si>
  <si>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</si>
  <si>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</si>
  <si>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</si>
  <si>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</si>
  <si>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</si>
  <si>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</si>
  <si>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</si>
  <si>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</si>
  <si>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</si>
  <si>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</si>
  <si>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</si>
  <si>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</si>
  <si>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</si>
  <si>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</si>
  <si>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</si>
  <si>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</si>
  <si>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</si>
  <si>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</si>
  <si>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</si>
  <si>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</si>
  <si>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</si>
  <si>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</si>
  <si>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</si>
  <si>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</si>
  <si>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</si>
  <si>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</si>
  <si>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</si>
  <si>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</si>
  <si>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</si>
  <si>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</si>
  <si>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</si>
  <si>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</si>
  <si>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</si>
  <si>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</si>
  <si>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</si>
  <si>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</si>
  <si>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</si>
  <si>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</si>
  <si>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</si>
  <si>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</si>
  <si>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</si>
  <si>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</si>
  <si>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</si>
  <si>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</si>
  <si>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</si>
  <si>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</si>
  <si>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</si>
  <si>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</si>
  <si>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</si>
  <si>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</si>
  <si>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</si>
  <si>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</si>
  <si>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</si>
  <si>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</si>
  <si>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</si>
  <si>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</si>
  <si>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</si>
  <si>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</si>
  <si>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</si>
  <si>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</si>
  <si>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</si>
  <si>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</si>
  <si>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</si>
  <si>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</si>
  <si>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</si>
  <si>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</si>
  <si>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</si>
  <si>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</si>
  <si>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</si>
  <si>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</si>
  <si>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</si>
  <si>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</si>
  <si>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</si>
  <si>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</si>
  <si>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</si>
  <si>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</si>
  <si>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</si>
  <si>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</si>
  <si>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</si>
  <si>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</si>
  <si>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</si>
  <si>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</si>
  <si>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</si>
  <si>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</si>
  <si>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</si>
  <si>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</si>
  <si>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</si>
  <si>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</si>
  <si>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</si>
  <si>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</si>
  <si>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</si>
  <si>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</si>
  <si>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</si>
  <si>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</si>
  <si>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</si>
  <si>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</si>
  <si>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</si>
  <si>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</si>
  <si>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</si>
  <si>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</si>
  <si>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</si>
  <si>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</si>
  <si>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</si>
  <si>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</si>
  <si>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</si>
  <si>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</si>
  <si>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</si>
  <si>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</si>
  <si>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</si>
  <si>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</si>
  <si>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</si>
  <si>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</si>
  <si>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</si>
  <si>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</si>
  <si>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</si>
  <si>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</si>
  <si>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</si>
  <si>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</si>
  <si>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</si>
  <si>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</si>
  <si>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</si>
  <si>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</si>
  <si>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</si>
  <si>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</si>
  <si>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</si>
  <si>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</si>
  <si>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</si>
  <si>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</si>
  <si>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</si>
  <si>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</si>
  <si>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</si>
  <si>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</si>
  <si>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</si>
  <si>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</si>
  <si>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</si>
  <si>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</si>
  <si>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</si>
  <si>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</si>
  <si>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</si>
  <si>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</si>
  <si>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</si>
  <si>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</si>
  <si>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</si>
  <si>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</si>
  <si>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</si>
  <si>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</si>
  <si>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</si>
  <si>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</si>
  <si>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</si>
  <si>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</si>
  <si>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</si>
  <si>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</si>
  <si>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</si>
  <si>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</si>
  <si>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</si>
  <si>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</si>
  <si>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</si>
  <si>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</si>
  <si>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</si>
  <si>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</si>
  <si>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</si>
  <si>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</si>
  <si>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</si>
  <si>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</si>
  <si>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</si>
  <si>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</si>
  <si>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</si>
  <si>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</si>
  <si>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</si>
  <si>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</si>
  <si>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</si>
  <si>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</si>
  <si>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</si>
  <si>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</si>
  <si>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</si>
  <si>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</si>
  <si>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</si>
  <si>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</si>
  <si>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</si>
  <si>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</si>
  <si>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</si>
  <si>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</si>
  <si>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</si>
  <si>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</si>
  <si>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</si>
  <si>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</si>
  <si>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</si>
  <si>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</si>
  <si>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</si>
  <si>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</si>
  <si>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</si>
  <si>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</si>
  <si>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</si>
  <si>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</si>
  <si>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</si>
  <si>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</si>
  <si>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</si>
  <si>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</si>
  <si>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</si>
  <si>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</si>
  <si>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</si>
  <si>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</si>
  <si>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</si>
  <si>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</si>
  <si>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</si>
  <si>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</si>
  <si>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</si>
  <si>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</si>
  <si>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</si>
  <si>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</si>
  <si>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</si>
  <si>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</si>
  <si>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</si>
  <si>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</si>
  <si>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</si>
  <si>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</si>
  <si>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</si>
  <si>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</si>
  <si>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</si>
  <si>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</si>
  <si>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</si>
  <si>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</si>
  <si>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</si>
  <si>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</si>
  <si>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</si>
  <si>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</si>
  <si>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</si>
  <si>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</si>
  <si>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</si>
  <si>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</si>
  <si>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</si>
  <si>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</si>
  <si>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</si>
  <si>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</si>
  <si>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</si>
  <si>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</si>
  <si>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</si>
  <si>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</si>
  <si>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</si>
  <si>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</si>
  <si>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</si>
  <si>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</si>
  <si>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</si>
  <si>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</si>
  <si>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</si>
  <si>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</si>
  <si>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</si>
  <si>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</si>
  <si>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</si>
  <si>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</si>
  <si>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</si>
  <si>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</si>
  <si>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</si>
  <si>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</si>
  <si>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</si>
  <si>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</si>
  <si>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</si>
  <si>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</si>
  <si>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</si>
  <si>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</si>
  <si>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</si>
  <si>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</si>
  <si>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</si>
  <si>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</si>
  <si>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</si>
  <si>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</si>
  <si>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</si>
  <si>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</si>
  <si>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</si>
  <si>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</si>
  <si>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</si>
  <si>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</si>
  <si>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</si>
  <si>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</si>
  <si>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</si>
  <si>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</si>
  <si>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</si>
  <si>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</si>
  <si>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</si>
  <si>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</si>
  <si>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</si>
  <si>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</si>
  <si>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</si>
  <si>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</si>
  <si>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</si>
  <si>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</si>
  <si>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</si>
  <si>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</si>
  <si>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</si>
  <si>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</si>
  <si>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</si>
  <si>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</si>
  <si>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</si>
  <si>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</si>
  <si>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</si>
  <si>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</si>
  <si>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</si>
  <si>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</si>
  <si>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</si>
  <si>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</si>
  <si>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</si>
  <si>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</si>
  <si>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</si>
  <si>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</si>
  <si>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</si>
  <si>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</si>
  <si>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</si>
  <si>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</si>
  <si>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</si>
  <si>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</si>
  <si>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</si>
  <si>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</si>
  <si>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</si>
  <si>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</si>
  <si>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</si>
  <si>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</si>
  <si>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</si>
  <si>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</si>
  <si>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</si>
  <si>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</si>
  <si>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</si>
  <si>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</si>
  <si>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</si>
  <si>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</si>
  <si>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</si>
  <si>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</si>
  <si>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</si>
  <si>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</si>
  <si>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</si>
  <si>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</si>
  <si>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</si>
  <si>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</si>
  <si>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</si>
  <si>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</si>
  <si>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</si>
  <si>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</si>
  <si>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</si>
  <si>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</si>
  <si>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</si>
  <si>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</si>
  <si>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</si>
  <si>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</si>
  <si>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</si>
  <si>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</si>
  <si>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</si>
  <si>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</si>
  <si>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</si>
  <si>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</si>
  <si>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</si>
  <si>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</si>
  <si>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</si>
  <si>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</si>
  <si>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</si>
  <si>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</si>
  <si>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</si>
  <si>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</si>
  <si>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</si>
  <si>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</si>
  <si>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</si>
  <si>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</si>
  <si>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</si>
  <si>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</si>
  <si>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</si>
  <si>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</si>
  <si>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</si>
  <si>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</si>
  <si>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</si>
  <si>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</si>
  <si>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</si>
  <si>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</si>
  <si>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</si>
  <si>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</si>
  <si>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</si>
  <si>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</si>
  <si>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</si>
  <si>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</si>
  <si>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</si>
  <si>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</si>
  <si>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</si>
  <si>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</si>
  <si>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</si>
  <si>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</si>
  <si>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</si>
  <si>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</si>
  <si>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</si>
  <si>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</si>
  <si>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</si>
  <si>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</si>
  <si>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</si>
  <si>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</si>
  <si>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</si>
  <si>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</si>
  <si>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</si>
  <si>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</si>
  <si>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</si>
  <si>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</si>
  <si>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</si>
  <si>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</si>
  <si>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</si>
  <si>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</si>
  <si>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</si>
  <si>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</si>
  <si>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</si>
  <si>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</si>
  <si>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</si>
  <si>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</si>
  <si>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</si>
  <si>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</si>
  <si>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</si>
  <si>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</si>
  <si>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</si>
  <si>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</si>
  <si>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</si>
  <si>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</si>
  <si>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</si>
  <si>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</si>
  <si>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</si>
  <si>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</si>
  <si>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</si>
  <si>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</si>
  <si>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</si>
  <si>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</si>
  <si>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</si>
  <si>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</si>
  <si>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</si>
  <si>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</si>
  <si>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</si>
  <si>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</si>
  <si>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</si>
  <si>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</si>
  <si>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</si>
  <si>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</si>
  <si>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</si>
  <si>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</si>
  <si>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</si>
  <si>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</si>
  <si>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</si>
  <si>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</si>
  <si>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</si>
  <si>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</si>
  <si>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</si>
  <si>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</si>
  <si>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</si>
  <si>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</si>
  <si>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</si>
  <si>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</si>
  <si>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</si>
  <si>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</si>
  <si>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</si>
  <si>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</si>
  <si>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</si>
  <si>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</si>
  <si>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</si>
  <si>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</si>
  <si>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</si>
  <si>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</si>
  <si>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</si>
  <si>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</si>
  <si>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</si>
  <si>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</si>
  <si>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</si>
  <si>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</si>
  <si>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</si>
  <si>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</si>
  <si>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</si>
  <si>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</si>
  <si>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</si>
  <si>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</si>
  <si>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</si>
  <si>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</si>
  <si>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</si>
  <si>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</si>
  <si>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</si>
  <si>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</si>
  <si>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</si>
  <si>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</si>
  <si>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</si>
  <si>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</si>
  <si>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</si>
  <si>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</si>
  <si>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</si>
  <si>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</si>
  <si>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</si>
  <si>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</si>
  <si>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</si>
  <si>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</si>
  <si>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</si>
  <si>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</si>
  <si>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</si>
  <si>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</si>
  <si>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</si>
  <si>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</si>
  <si>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</si>
  <si>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</si>
  <si>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</si>
  <si>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</si>
  <si>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</si>
  <si>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</si>
  <si>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</si>
  <si>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</si>
  <si>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</si>
  <si>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</si>
  <si>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</si>
  <si>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</si>
  <si>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</si>
  <si>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</si>
  <si>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</si>
  <si>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</si>
  <si>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</si>
  <si>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</si>
  <si>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</si>
  <si>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</si>
  <si>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</si>
  <si>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</si>
  <si>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</si>
  <si>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</si>
  <si>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</si>
  <si>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</si>
  <si>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</si>
  <si>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</si>
  <si>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</si>
  <si>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</si>
  <si>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</si>
  <si>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</si>
  <si>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</si>
  <si>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</si>
  <si>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</si>
  <si>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</si>
  <si>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</si>
  <si>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</si>
  <si>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</si>
  <si>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</si>
  <si>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</si>
  <si>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</si>
  <si>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</si>
  <si>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</si>
  <si>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</si>
  <si>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</si>
  <si>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</si>
  <si>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</si>
  <si>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</si>
  <si>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</si>
  <si>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</si>
  <si>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</si>
  <si>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</si>
  <si>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</si>
  <si>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</si>
  <si>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</si>
  <si>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</si>
  <si>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</si>
  <si>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</si>
  <si>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</si>
  <si>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</si>
  <si>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</si>
  <si>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</si>
  <si>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</si>
  <si>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</si>
  <si>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</si>
  <si>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</si>
  <si>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</si>
  <si>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</si>
  <si>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</si>
  <si>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</si>
  <si>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</si>
  <si>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</si>
  <si>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</si>
  <si>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</si>
  <si>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</si>
  <si>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</si>
  <si>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</si>
  <si>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</si>
  <si>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</si>
  <si>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</si>
  <si>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</si>
  <si>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</si>
  <si>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</si>
  <si>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</si>
  <si>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</si>
  <si>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</si>
  <si>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</si>
  <si>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</si>
  <si>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</si>
  <si>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</si>
  <si>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</si>
  <si>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</si>
  <si>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</si>
  <si>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</si>
  <si>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</si>
  <si>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</si>
  <si>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</si>
  <si>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</si>
  <si>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</si>
  <si>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</si>
  <si>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</si>
  <si>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</si>
  <si>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</si>
  <si>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</si>
  <si>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</si>
  <si>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</si>
  <si>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</si>
  <si>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</si>
  <si>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</si>
  <si>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</si>
  <si>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</si>
  <si>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</si>
  <si>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</si>
  <si>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</si>
  <si>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</si>
  <si>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</si>
  <si>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</si>
  <si>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</si>
  <si>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</si>
  <si>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</si>
  <si>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</si>
  <si>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</si>
  <si>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</si>
  <si>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</si>
  <si>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</si>
  <si>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</si>
  <si>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</si>
  <si>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</si>
  <si>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</si>
  <si>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</si>
  <si>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</si>
  <si>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</si>
  <si>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</si>
  <si>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</si>
  <si>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</si>
  <si>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</si>
  <si>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</si>
  <si>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</si>
  <si>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</si>
  <si>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</si>
  <si>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</si>
  <si>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</si>
  <si>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</si>
  <si>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</si>
  <si>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</si>
  <si>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</si>
  <si>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</si>
  <si>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</si>
  <si>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</si>
  <si>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</si>
  <si>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</si>
  <si>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</si>
  <si>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</si>
  <si>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</si>
  <si>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</si>
  <si>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</si>
  <si>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</si>
  <si>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</si>
  <si>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</si>
  <si>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</si>
  <si>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</si>
  <si>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</si>
  <si>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</si>
  <si>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</si>
  <si>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</si>
  <si>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</si>
  <si>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</si>
  <si>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</si>
  <si>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</si>
  <si>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</si>
  <si>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</si>
  <si>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</si>
  <si>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</si>
  <si>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</si>
  <si>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</si>
  <si>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</si>
  <si>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</si>
  <si>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</si>
  <si>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</si>
  <si>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</si>
  <si>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</si>
  <si>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</si>
  <si>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</si>
  <si>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</si>
  <si>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</si>
  <si>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</si>
  <si>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</si>
  <si>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</si>
  <si>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</si>
  <si>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</si>
  <si>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</si>
  <si>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</si>
  <si>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</si>
  <si>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</si>
  <si>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</si>
  <si>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</si>
  <si>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</si>
  <si>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</si>
  <si>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</si>
  <si>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</si>
  <si>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</si>
  <si>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</si>
  <si>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</si>
  <si>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</si>
  <si>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</si>
  <si>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</si>
  <si>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</si>
  <si>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</si>
  <si>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</si>
  <si>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</si>
  <si>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</si>
  <si>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</si>
  <si>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</si>
  <si>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</si>
  <si>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</si>
  <si>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</si>
  <si>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</si>
  <si>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</si>
  <si>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</si>
  <si>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</si>
  <si>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</si>
  <si>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</si>
  <si>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</si>
  <si>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</si>
  <si>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</si>
  <si>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</si>
  <si>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</si>
  <si>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</si>
  <si>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</si>
  <si>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</si>
  <si>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</si>
  <si>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</si>
  <si>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</si>
  <si>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</si>
  <si>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</si>
  <si>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</si>
  <si>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</si>
  <si>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</si>
  <si>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</si>
  <si>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</si>
  <si>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</si>
  <si>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</si>
  <si>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</si>
  <si>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</si>
  <si>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</si>
  <si>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</si>
  <si>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</si>
  <si>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</si>
  <si>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</si>
  <si>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</si>
  <si>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</si>
  <si>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</si>
  <si>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</si>
  <si>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</si>
  <si>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</si>
  <si>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</si>
  <si>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</si>
  <si>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</si>
  <si>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</si>
  <si>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</si>
  <si>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</si>
  <si>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</si>
  <si>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</si>
  <si>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</si>
  <si>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</si>
  <si>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</si>
  <si>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</si>
  <si>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</si>
  <si>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</si>
  <si>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</si>
  <si>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</si>
  <si>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</si>
  <si>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</si>
  <si>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</si>
  <si>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</si>
  <si>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</si>
  <si>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</si>
  <si>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</si>
  <si>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</si>
  <si>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</si>
  <si>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</si>
  <si>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</si>
  <si>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</si>
  <si>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</si>
  <si>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</si>
  <si>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</si>
  <si>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</si>
  <si>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</si>
  <si>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</si>
  <si>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</si>
  <si>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</si>
  <si>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</si>
  <si>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</si>
  <si>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</si>
  <si>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</si>
  <si>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</si>
  <si>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</si>
  <si>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</si>
  <si>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</si>
  <si>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</si>
  <si>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</si>
  <si>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</si>
  <si>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</si>
  <si>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</si>
  <si>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</si>
  <si>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</si>
  <si>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</si>
  <si>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</si>
  <si>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</si>
  <si>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</si>
  <si>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</si>
  <si>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</si>
  <si>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</si>
  <si>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</si>
  <si>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</si>
  <si>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</si>
  <si>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</si>
  <si>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</si>
  <si>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</si>
  <si>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</si>
  <si>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</si>
  <si>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</si>
  <si>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</si>
  <si>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</si>
  <si>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</si>
  <si>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</si>
  <si>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</si>
  <si>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</si>
  <si>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</si>
  <si>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</si>
  <si>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</si>
  <si>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</si>
  <si>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</si>
  <si>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</si>
  <si>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</si>
  <si>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</si>
  <si>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</si>
  <si>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</si>
  <si>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</si>
  <si>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</si>
  <si>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</si>
  <si>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</si>
  <si>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</si>
  <si>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</si>
  <si>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</si>
  <si>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</si>
  <si>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</si>
  <si>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</si>
  <si>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</si>
  <si>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</si>
  <si>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</si>
  <si>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</si>
  <si>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</si>
  <si>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</si>
  <si>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</si>
  <si>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</si>
  <si>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</si>
  <si>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</si>
  <si>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</si>
  <si>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</si>
  <si>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</si>
  <si>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</si>
  <si>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</si>
  <si>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</si>
  <si>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</si>
  <si>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</si>
  <si>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</si>
  <si>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</si>
  <si>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</si>
  <si>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</si>
  <si>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</si>
  <si>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</si>
  <si>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</si>
  <si>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</si>
  <si>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</si>
  <si>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</si>
  <si>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</si>
  <si>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</si>
  <si>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</si>
  <si>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</si>
  <si>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</si>
  <si>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</si>
  <si>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</si>
  <si>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</si>
  <si>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</si>
  <si>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</si>
  <si>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</si>
  <si>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</si>
  <si>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</si>
  <si>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</si>
  <si>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</si>
  <si>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</si>
  <si>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</si>
  <si>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</si>
  <si>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</si>
  <si>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</si>
  <si>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</si>
  <si>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</si>
  <si>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</si>
  <si>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</si>
  <si>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</si>
  <si>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</si>
  <si>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</si>
  <si>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</si>
  <si>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</si>
  <si>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</si>
  <si>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</si>
  <si>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</si>
  <si>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</si>
  <si>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</si>
  <si>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</si>
  <si>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</si>
  <si>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</si>
  <si>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</si>
  <si>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</si>
  <si>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</si>
  <si>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</si>
  <si>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</si>
  <si>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</si>
  <si>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</si>
  <si>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</si>
  <si>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</si>
  <si>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</si>
  <si>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</si>
  <si>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</si>
  <si>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</si>
  <si>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</si>
  <si>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</si>
  <si>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</si>
  <si>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</si>
  <si>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</si>
  <si>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</si>
  <si>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</si>
  <si>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</si>
  <si>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</si>
  <si>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</si>
  <si>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</si>
  <si>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</si>
  <si>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</si>
  <si>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</si>
  <si>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</si>
  <si>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</si>
  <si>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</si>
  <si>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</si>
  <si>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</si>
  <si>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</si>
  <si>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</si>
  <si>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</si>
  <si>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</si>
  <si>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</si>
  <si>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</si>
  <si>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</si>
  <si>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</si>
  <si>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</si>
  <si>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</si>
  <si>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</si>
  <si>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</si>
  <si>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</si>
  <si>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</si>
  <si>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</si>
  <si>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</si>
  <si>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</si>
  <si>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</si>
  <si>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</si>
  <si>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</si>
  <si>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</si>
  <si>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</si>
  <si>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</si>
  <si>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</si>
  <si>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</si>
  <si>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</si>
  <si>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</si>
  <si>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</si>
  <si>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</si>
  <si>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</si>
  <si>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</si>
  <si>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</si>
  <si>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</si>
  <si>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</si>
  <si>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</si>
  <si>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</si>
  <si>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</si>
  <si>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</si>
  <si>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</si>
  <si>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</si>
  <si>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</si>
  <si>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</si>
  <si>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</si>
  <si>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</si>
  <si>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</si>
  <si>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</si>
  <si>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</si>
  <si>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</si>
  <si>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</si>
  <si>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</si>
  <si>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</si>
  <si>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</si>
  <si>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</si>
  <si>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</si>
  <si>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</si>
  <si>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</si>
  <si>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</si>
  <si>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</si>
  <si>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</si>
  <si>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</si>
  <si>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</si>
  <si>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</si>
  <si>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</si>
  <si>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</si>
  <si>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</si>
  <si>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</si>
  <si>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</si>
  <si>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</si>
  <si>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</si>
  <si>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</si>
  <si>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</si>
  <si>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</si>
  <si>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</si>
  <si>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</si>
  <si>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</si>
  <si>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</si>
  <si>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</si>
  <si>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</si>
  <si>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</si>
  <si>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</si>
  <si>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</si>
  <si>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</si>
  <si>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</si>
  <si>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</si>
  <si>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</si>
  <si>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</si>
  <si>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</si>
  <si>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</si>
  <si>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</si>
  <si>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</si>
  <si>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</si>
  <si>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</si>
  <si>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</si>
  <si>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</si>
  <si>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</si>
  <si>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</si>
  <si>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</si>
  <si>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</si>
  <si>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</si>
  <si>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</si>
  <si>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</si>
  <si>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</si>
  <si>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</si>
  <si>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</si>
  <si>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</si>
  <si>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</si>
  <si>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</si>
  <si>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</si>
  <si>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</si>
  <si>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</si>
  <si>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</si>
  <si>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</si>
  <si>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</si>
  <si>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</si>
  <si>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</si>
  <si>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</si>
  <si>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</si>
  <si>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</si>
  <si>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</si>
  <si>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</si>
  <si>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</si>
  <si>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</si>
  <si>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</si>
  <si>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</si>
  <si>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</si>
  <si>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</si>
  <si>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</si>
  <si>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</si>
  <si>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</si>
  <si>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</si>
  <si>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</si>
  <si>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</si>
  <si>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</si>
  <si>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</si>
  <si>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</si>
  <si>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</si>
  <si>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</si>
  <si>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</si>
  <si>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</si>
  <si>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</si>
  <si>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</si>
  <si>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</si>
  <si>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</si>
  <si>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</si>
  <si>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</si>
  <si>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</si>
  <si>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</si>
  <si>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</si>
  <si>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</si>
  <si>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</si>
  <si>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</si>
  <si>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</si>
  <si>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</si>
  <si>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</si>
  <si>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</si>
  <si>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</si>
  <si>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</si>
  <si>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</si>
  <si>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</si>
  <si>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</si>
  <si>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</si>
  <si>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</si>
  <si>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</si>
  <si>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</si>
  <si>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</si>
  <si>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</si>
  <si>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</si>
  <si>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</si>
  <si>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</si>
  <si>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</si>
  <si>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</si>
  <si>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</si>
  <si>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</si>
  <si>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</si>
  <si>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</si>
  <si>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</si>
  <si>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</si>
  <si>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</si>
  <si>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</si>
  <si>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</si>
  <si>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</si>
  <si>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</si>
  <si>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</si>
  <si>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</si>
  <si>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</si>
  <si>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</si>
  <si>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</si>
  <si>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</si>
  <si>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</si>
  <si>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</si>
  <si>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</si>
  <si>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</si>
  <si>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</si>
  <si>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</si>
  <si>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</si>
  <si>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</si>
  <si>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</si>
  <si>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</si>
  <si>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</si>
  <si>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</si>
  <si>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</si>
  <si>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</si>
  <si>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</si>
  <si>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</si>
  <si>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</si>
  <si>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</si>
  <si>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</si>
  <si>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</si>
  <si>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</si>
  <si>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</si>
  <si>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</si>
  <si>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</si>
  <si>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</si>
  <si>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</si>
  <si>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</si>
  <si>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</si>
  <si>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</si>
  <si>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</si>
  <si>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</si>
  <si>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</si>
  <si>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</si>
  <si>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</si>
  <si>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</si>
  <si>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</si>
  <si>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</si>
  <si>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</si>
  <si>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</si>
  <si>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</si>
  <si>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</si>
  <si>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</si>
  <si>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</si>
  <si>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</si>
  <si>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</si>
  <si>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</si>
  <si>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</si>
  <si>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</si>
  <si>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</si>
  <si>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</si>
  <si>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</si>
  <si>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</si>
  <si>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</si>
  <si>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</si>
  <si>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</si>
  <si>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</si>
  <si>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</si>
  <si>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</si>
  <si>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</si>
  <si>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</si>
  <si>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</si>
  <si>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</si>
  <si>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</si>
  <si>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</si>
  <si>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</si>
  <si>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</si>
  <si>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</si>
  <si>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</si>
  <si>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</si>
  <si>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</si>
  <si>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</si>
  <si>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</si>
  <si>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</si>
  <si>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</si>
  <si>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</si>
  <si>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</si>
  <si>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</si>
  <si>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</si>
  <si>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</si>
  <si>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</si>
  <si>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</si>
  <si>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</si>
  <si>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</si>
  <si>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</si>
  <si>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</si>
  <si>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</si>
  <si>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</si>
  <si>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</si>
  <si>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</si>
  <si>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</si>
  <si>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</si>
  <si>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</si>
  <si>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</si>
  <si>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</si>
  <si>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</si>
  <si>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</si>
  <si>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</si>
  <si>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</si>
  <si>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</si>
  <si>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</si>
  <si>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</si>
  <si>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</si>
  <si>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</si>
  <si>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</si>
  <si>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</si>
  <si>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</si>
  <si>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</si>
  <si>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</si>
  <si>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</si>
  <si>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</si>
  <si>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</si>
  <si>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</si>
  <si>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</si>
  <si>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</si>
  <si>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</si>
  <si>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</si>
  <si>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</si>
  <si>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</si>
  <si>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</si>
  <si>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</si>
  <si>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</si>
  <si>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</si>
  <si>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</si>
  <si>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</si>
  <si>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</si>
  <si>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</si>
  <si>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</si>
  <si>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</si>
  <si>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</si>
  <si>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</si>
  <si>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</si>
  <si>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</si>
  <si>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</si>
  <si>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</si>
  <si>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</si>
  <si>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</si>
  <si>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</si>
  <si>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</si>
  <si>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</si>
  <si>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</si>
  <si>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</si>
  <si>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</si>
  <si>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</si>
  <si>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</si>
  <si>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</si>
  <si>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</si>
  <si>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</si>
  <si>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</si>
  <si>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</si>
  <si>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</si>
  <si>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</si>
  <si>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</si>
  <si>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</si>
  <si>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</si>
  <si>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</si>
  <si>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</si>
  <si>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</si>
  <si>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</si>
  <si>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</si>
  <si>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</si>
  <si>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</si>
  <si>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</si>
  <si>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</si>
  <si>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</si>
  <si>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</si>
  <si>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</si>
  <si>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</si>
  <si>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</si>
  <si>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</si>
  <si>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</si>
  <si>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</si>
  <si>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</si>
  <si>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</si>
  <si>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</si>
  <si>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</si>
  <si>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</si>
  <si>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</si>
  <si>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</si>
  <si>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</si>
  <si>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</si>
  <si>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</si>
  <si>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</si>
  <si>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</si>
  <si>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</si>
  <si>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</si>
  <si>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</si>
  <si>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</si>
  <si>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</si>
  <si>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</si>
  <si>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</si>
  <si>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</si>
  <si>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</si>
  <si>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</si>
  <si>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</si>
  <si>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</si>
  <si>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</si>
  <si>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</si>
  <si>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</si>
  <si>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</si>
  <si>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</si>
  <si>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</si>
  <si>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</si>
  <si>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</si>
  <si>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</si>
  <si>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</si>
  <si>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</si>
  <si>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</si>
  <si>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</si>
  <si>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</si>
  <si>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</si>
  <si>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</si>
  <si>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</si>
  <si>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</si>
  <si>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</si>
  <si>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</si>
  <si>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</si>
  <si>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</si>
  <si>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</si>
  <si>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</si>
  <si>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</si>
  <si>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</si>
  <si>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</si>
  <si>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</si>
  <si>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</si>
  <si>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</si>
  <si>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</si>
  <si>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</si>
  <si>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</si>
  <si>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</si>
  <si>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</si>
  <si>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</si>
  <si>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</si>
  <si>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</si>
  <si>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</si>
  <si>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</si>
  <si>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</si>
  <si>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</si>
  <si>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</si>
  <si>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</si>
  <si>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</si>
  <si>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</si>
  <si>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</si>
  <si>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</si>
  <si>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</si>
  <si>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</si>
  <si>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</si>
  <si>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</si>
  <si>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</si>
  <si>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</si>
  <si>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</si>
  <si>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</si>
  <si>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</si>
  <si>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</si>
  <si>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</si>
  <si>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</si>
  <si>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</si>
  <si>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</si>
  <si>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</si>
  <si>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</si>
  <si>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</si>
  <si>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</si>
  <si>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</si>
  <si>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</si>
  <si>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</si>
  <si>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</si>
  <si>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</si>
  <si>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</si>
  <si>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</si>
  <si>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</si>
  <si>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</si>
  <si>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</si>
  <si>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</si>
  <si>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</si>
  <si>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</si>
  <si>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</si>
  <si>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</si>
  <si>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</si>
  <si>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</si>
  <si>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</si>
  <si>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</si>
  <si>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</si>
  <si>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</si>
  <si>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</si>
  <si>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</si>
  <si>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</si>
  <si>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</si>
  <si>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</si>
  <si>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</si>
  <si>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</si>
  <si>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</si>
  <si>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</si>
  <si>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</si>
  <si>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</si>
  <si>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</si>
  <si>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</si>
  <si>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</si>
  <si>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</si>
  <si>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</si>
  <si>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</si>
  <si>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</si>
  <si>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</si>
  <si>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</si>
  <si>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</si>
  <si>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</si>
  <si>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</si>
  <si>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</si>
  <si>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</si>
  <si>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</si>
  <si>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</si>
  <si>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</si>
  <si>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</si>
  <si>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</si>
  <si>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</si>
  <si>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</si>
  <si>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</si>
  <si>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</si>
  <si>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</si>
  <si>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</si>
  <si>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</si>
  <si>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</si>
  <si>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</si>
  <si>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</si>
  <si>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</si>
  <si>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</si>
  <si>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</si>
  <si>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</si>
  <si>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E.G.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</si>
  <si>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</si>
  <si>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</si>
  <si>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</si>
  <si>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</si>
  <si>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</si>
  <si>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</si>
  <si>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</si>
  <si>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01/01/2023 - 02/18/2026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</si>
  <si>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</si>
  <si>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</si>
  <si>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</si>
  <si>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</si>
  <si>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</si>
  <si>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</si>
  <si>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</si>
  <si>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</si>
  <si>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</si>
  <si>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</si>
  <si>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</si>
  <si>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</si>
  <si>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</si>
  <si>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</si>
  <si>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</si>
  <si>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</si>
  <si>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</si>
  <si>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</si>
  <si>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</si>
  <si>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</si>
  <si>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</si>
  <si>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</si>
  <si>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</si>
  <si>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</si>
  <si>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</si>
  <si>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</si>
  <si>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</si>
  <si>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</si>
  <si>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r>
      <t xml:space="preserve">WARN REPORT - </t>
    </r>
    <r>
      <rPr>
        <b/>
        <sz val="12"/>
        <rFont val="Calibri"/>
        <family val="2"/>
        <scheme val="minor"/>
      </rPr>
      <t>07/01/25 to 02/18/2026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I995.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</si>
</sst>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995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6640625" defaultRowHeight="14.4" x14ac:dyDescent="0.3"/>
  <cols>
    <col min="1" max="1" width="74" style="3" bestFit="1" customWidth="1"/>
  </cols>
  <sheetData>
    <row r="1" spans="1:1" ht="129.6" x14ac:dyDescent="0.3">
      <c r="A1" s="10" t="s">
        <v>28</v>
      </c>
    </row>
    <row r="2" spans="1:1" ht="21" x14ac:dyDescent="0.4">
      <c r="A2" s="12" t="s">
        <v>20</v>
      </c>
    </row>
    <row r="3" spans="1:1" x14ac:dyDescent="0.3">
      <c r="A3" s="13" t="s">
        <v>18</v>
      </c>
    </row>
    <row r="4" spans="1:1" x14ac:dyDescent="0.3">
      <c r="A4" s="13" t="s">
        <v>19</v>
      </c>
    </row>
    <row r="5" spans="1:1" x14ac:dyDescent="0.3">
      <c r="A5" s="13" t="s">
        <v>23</v>
      </c>
    </row>
    <row r="6" spans="1:1" x14ac:dyDescent="0.3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6640625" defaultRowHeight="14.4" x14ac:dyDescent="0.3"/>
  <cols>
    <col min="1" max="1" width="28.44140625" style="3" bestFit="1" customWidth="1"/>
    <col min="2" max="2" width="6.44140625" style="3" bestFit="1" customWidth="1"/>
  </cols>
  <sheetData>
    <row r="1" spans="1:2" ht="75.599999999999994" x14ac:dyDescent="0.3">
      <c r="A1" s="10" t="s">
        <v>21</v>
      </c>
    </row>
    <row r="2" spans="1:2" x14ac:dyDescent="0.3">
      <c r="A2" s="14" t="s">
        <v>16</v>
      </c>
      <c r="B2" s="15" t="s">
        <v>15</v>
      </c>
    </row>
    <row r="3" spans="1:2" x14ac:dyDescent="0.3">
      <c r="A3" s="2" t="s">
        <v>17</v>
      </c>
      <c r="B3" s="11">
        <f>SUM('Detailed WARN Report '!G:G)</f>
        <v>54485</v>
      </c>
    </row>
    <row r="4" spans="1:2" x14ac:dyDescent="0.3">
      <c r="A4" s="2" t="s">
        <v>9</v>
      </c>
      <c r="B4" s="11">
        <v>204</v>
      </c>
    </row>
    <row r="5" spans="1:2" x14ac:dyDescent="0.3">
      <c r="A5" s="2" t="s">
        <v>10</v>
      </c>
      <c r="B5" s="11">
        <f>COUNTIF('Detailed WARN Report '!F:F,"Layoff Temporary")</f>
        <v>57</v>
      </c>
    </row>
    <row r="6" spans="1:2" x14ac:dyDescent="0.3">
      <c r="A6" s="2" t="s">
        <v>11</v>
      </c>
      <c r="B6" s="11">
        <v>2</v>
      </c>
    </row>
    <row r="7" spans="1:2" x14ac:dyDescent="0.3">
      <c r="A7" s="2" t="s">
        <v>12</v>
      </c>
      <c r="B7" s="11">
        <f>COUNTIF('Detailed WARN Report '!F:F,"Closure Permanent")</f>
        <v>262</v>
      </c>
    </row>
    <row r="8" spans="1:2" x14ac:dyDescent="0.3">
      <c r="A8" s="2" t="s">
        <v>13</v>
      </c>
      <c r="B8" s="11">
        <f>COUNTIF('Detailed WARN Report '!F:F,"Closure Temporary")</f>
        <v>12</v>
      </c>
    </row>
    <row r="9" spans="1:2" x14ac:dyDescent="0.3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995"/>
  <sheetViews>
    <sheetView zoomScaleNormal="100" workbookViewId="0"/>
  </sheetViews>
  <sheetFormatPr defaultColWidth="161.44140625" defaultRowHeight="14.4" x14ac:dyDescent="0.3"/>
  <cols>
    <col min="1" max="1" width="29.44140625" style="3" bestFit="1" customWidth="1"/>
    <col min="2" max="2" width="7" style="8" bestFit="1" customWidth="1"/>
    <col min="3" max="3" width="9.88671875" style="8" bestFit="1" customWidth="1"/>
    <col min="4" max="4" width="8.44140625" style="8" bestFit="1" customWidth="1"/>
    <col min="5" max="5" width="69" style="10" bestFit="1" customWidth="1"/>
    <col min="6" max="6" width="22.33203125" style="3" customWidth="1"/>
    <col min="7" max="7" width="9.88671875" style="3" customWidth="1"/>
    <col min="8" max="8" width="61.6640625" style="3" customWidth="1"/>
    <col min="9" max="9" width="51.88671875" style="3" bestFit="1" customWidth="1"/>
  </cols>
  <sheetData>
    <row r="1" spans="1:9" ht="99.6" x14ac:dyDescent="0.3">
      <c r="A1" s="16" t="s">
        <v>1733</v>
      </c>
      <c r="E1" s="3"/>
    </row>
    <row r="2" spans="1:9" ht="24.6" x14ac:dyDescent="0.3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3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3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3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3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3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3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3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3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3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3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3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3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3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3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3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3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3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3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3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3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3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3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3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3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3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3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3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3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3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3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3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3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3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3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3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3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3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3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3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1656</v>
      </c>
      <c r="F956" s="37" t="s">
        <v>6</v>
      </c>
      <c r="G956" s="43">
        <v>154</v>
      </c>
      <c r="H956" s="34" t="s">
        <v>1657</v>
      </c>
      <c r="I956" s="26" t="s">
        <v>38</v>
      </c>
    </row>
    <row r="957" spans="1:9" x14ac:dyDescent="0.3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1658</v>
      </c>
      <c r="F957" s="37" t="s">
        <v>6</v>
      </c>
      <c r="G957" s="43">
        <v>81</v>
      </c>
      <c r="H957" s="34" t="s">
        <v>1659</v>
      </c>
      <c r="I957" s="26" t="s">
        <v>34</v>
      </c>
    </row>
    <row r="958" spans="1:9" x14ac:dyDescent="0.3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1660</v>
      </c>
      <c r="F958" s="37" t="s">
        <v>54</v>
      </c>
      <c r="G958" s="43">
        <v>58</v>
      </c>
      <c r="H958" s="34" t="s">
        <v>1661</v>
      </c>
      <c r="I958" s="26" t="s">
        <v>41</v>
      </c>
    </row>
    <row r="959" spans="1:9" x14ac:dyDescent="0.3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1662</v>
      </c>
      <c r="F959" s="37" t="s">
        <v>6</v>
      </c>
      <c r="G959" s="43">
        <v>22</v>
      </c>
      <c r="H959" s="34" t="s">
        <v>1663</v>
      </c>
      <c r="I959" s="26" t="s">
        <v>39</v>
      </c>
    </row>
    <row r="960" spans="1:9" x14ac:dyDescent="0.3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1664</v>
      </c>
      <c r="F960" s="37" t="s">
        <v>54</v>
      </c>
      <c r="G960" s="43">
        <v>13</v>
      </c>
      <c r="H960" s="34" t="s">
        <v>1665</v>
      </c>
      <c r="I960" s="26" t="s">
        <v>33</v>
      </c>
    </row>
    <row r="961" spans="1:9" x14ac:dyDescent="0.3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1666</v>
      </c>
      <c r="F961" s="37" t="s">
        <v>54</v>
      </c>
      <c r="G961" s="43">
        <v>114</v>
      </c>
      <c r="H961" s="34" t="s">
        <v>1667</v>
      </c>
      <c r="I961" s="26" t="s">
        <v>33</v>
      </c>
    </row>
    <row r="962" spans="1:9" x14ac:dyDescent="0.3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1668</v>
      </c>
      <c r="F962" s="37" t="s">
        <v>54</v>
      </c>
      <c r="G962" s="43">
        <v>765</v>
      </c>
      <c r="H962" s="34" t="s">
        <v>1669</v>
      </c>
      <c r="I962" s="26" t="s">
        <v>35</v>
      </c>
    </row>
    <row r="963" spans="1:9" x14ac:dyDescent="0.3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1670</v>
      </c>
      <c r="F963" s="37" t="s">
        <v>54</v>
      </c>
      <c r="G963" s="43">
        <v>11</v>
      </c>
      <c r="H963" s="34" t="s">
        <v>1671</v>
      </c>
      <c r="I963" s="26" t="s">
        <v>35</v>
      </c>
    </row>
    <row r="964" spans="1:9" x14ac:dyDescent="0.3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1672</v>
      </c>
      <c r="F964" s="37" t="s">
        <v>54</v>
      </c>
      <c r="G964" s="43">
        <v>20</v>
      </c>
      <c r="H964" s="34" t="s">
        <v>1673</v>
      </c>
      <c r="I964" s="26" t="s">
        <v>36</v>
      </c>
    </row>
    <row r="965" spans="1:9" x14ac:dyDescent="0.3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1674</v>
      </c>
      <c r="F965" s="37" t="s">
        <v>6</v>
      </c>
      <c r="G965" s="43">
        <v>270</v>
      </c>
      <c r="H965" s="34" t="s">
        <v>1675</v>
      </c>
      <c r="I965" s="26" t="s">
        <v>34</v>
      </c>
    </row>
    <row r="966" spans="1:9" x14ac:dyDescent="0.3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1676</v>
      </c>
      <c r="F966" s="41" t="s">
        <v>6</v>
      </c>
      <c r="G966" s="44">
        <v>60</v>
      </c>
      <c r="H966" s="34" t="s">
        <v>1677</v>
      </c>
      <c r="I966" s="26" t="s">
        <v>34</v>
      </c>
    </row>
    <row r="967" spans="1:9" x14ac:dyDescent="0.3">
      <c r="A967" s="35" t="s">
        <v>5</v>
      </c>
      <c r="B967" s="36">
        <v>46062</v>
      </c>
      <c r="C967" s="36">
        <v>46063</v>
      </c>
      <c r="D967" s="36">
        <v>46122</v>
      </c>
      <c r="E967" s="37" t="s">
        <v>1678</v>
      </c>
      <c r="F967" s="37" t="s">
        <v>6</v>
      </c>
      <c r="G967" s="43">
        <v>56</v>
      </c>
      <c r="H967" s="34" t="s">
        <v>1679</v>
      </c>
      <c r="I967" s="26" t="s">
        <v>38</v>
      </c>
    </row>
    <row r="968" spans="1:9" x14ac:dyDescent="0.3">
      <c r="A968" s="35" t="s">
        <v>482</v>
      </c>
      <c r="B968" s="36">
        <v>46059</v>
      </c>
      <c r="C968" s="36">
        <v>46063</v>
      </c>
      <c r="D968" s="36">
        <v>46131</v>
      </c>
      <c r="E968" s="37" t="s">
        <v>1680</v>
      </c>
      <c r="F968" s="37" t="s">
        <v>107</v>
      </c>
      <c r="G968" s="43">
        <v>90</v>
      </c>
      <c r="H968" s="34" t="s">
        <v>1681</v>
      </c>
      <c r="I968" s="26" t="s">
        <v>34</v>
      </c>
    </row>
    <row r="969" spans="1:9" x14ac:dyDescent="0.3">
      <c r="A969" s="35" t="s">
        <v>90</v>
      </c>
      <c r="B969" s="36">
        <v>46063</v>
      </c>
      <c r="C969" s="36">
        <v>46063</v>
      </c>
      <c r="D969" s="36">
        <v>46123</v>
      </c>
      <c r="E969" s="37" t="s">
        <v>1241</v>
      </c>
      <c r="F969" s="37" t="s">
        <v>6</v>
      </c>
      <c r="G969" s="43">
        <v>76</v>
      </c>
      <c r="H969" s="34" t="s">
        <v>1242</v>
      </c>
      <c r="I969" s="26" t="s">
        <v>41</v>
      </c>
    </row>
    <row r="970" spans="1:9" x14ac:dyDescent="0.3">
      <c r="A970" s="39" t="s">
        <v>52</v>
      </c>
      <c r="B970" s="40">
        <v>46064</v>
      </c>
      <c r="C970" s="40">
        <v>46064</v>
      </c>
      <c r="D970" s="40">
        <v>46125</v>
      </c>
      <c r="E970" s="41" t="s">
        <v>1682</v>
      </c>
      <c r="F970" s="41" t="s">
        <v>6</v>
      </c>
      <c r="G970" s="44">
        <v>43</v>
      </c>
      <c r="H970" s="34" t="s">
        <v>1683</v>
      </c>
      <c r="I970" s="26" t="s">
        <v>34</v>
      </c>
    </row>
    <row r="971" spans="1:9" x14ac:dyDescent="0.3">
      <c r="A971" s="35" t="s">
        <v>71</v>
      </c>
      <c r="B971" s="36">
        <v>46063</v>
      </c>
      <c r="C971" s="36">
        <v>46065</v>
      </c>
      <c r="D971" s="36">
        <v>46179</v>
      </c>
      <c r="E971" s="37" t="s">
        <v>1684</v>
      </c>
      <c r="F971" s="37" t="s">
        <v>54</v>
      </c>
      <c r="G971" s="43">
        <v>248</v>
      </c>
      <c r="H971" s="34" t="s">
        <v>1685</v>
      </c>
      <c r="I971" s="26" t="s">
        <v>34</v>
      </c>
    </row>
    <row r="972" spans="1:9" x14ac:dyDescent="0.3">
      <c r="A972" s="35" t="s">
        <v>711</v>
      </c>
      <c r="B972" s="36">
        <v>46065</v>
      </c>
      <c r="C972" s="36">
        <v>46065</v>
      </c>
      <c r="D972" s="36">
        <v>46127</v>
      </c>
      <c r="E972" s="37" t="s">
        <v>1686</v>
      </c>
      <c r="F972" s="37" t="s">
        <v>54</v>
      </c>
      <c r="G972" s="43">
        <v>56</v>
      </c>
      <c r="H972" s="34" t="s">
        <v>1687</v>
      </c>
      <c r="I972" s="26" t="s">
        <v>34</v>
      </c>
    </row>
    <row r="973" spans="1:9" x14ac:dyDescent="0.3">
      <c r="A973" s="35" t="s">
        <v>5</v>
      </c>
      <c r="B973" s="36">
        <v>46066</v>
      </c>
      <c r="C973" s="36">
        <v>46066</v>
      </c>
      <c r="D973" s="36">
        <v>46126</v>
      </c>
      <c r="E973" s="37" t="s">
        <v>1688</v>
      </c>
      <c r="F973" s="37" t="s">
        <v>54</v>
      </c>
      <c r="G973" s="43">
        <v>97</v>
      </c>
      <c r="H973" s="34" t="s">
        <v>1689</v>
      </c>
      <c r="I973" s="26" t="s">
        <v>47</v>
      </c>
    </row>
    <row r="974" spans="1:9" x14ac:dyDescent="0.3">
      <c r="A974" s="35" t="s">
        <v>5</v>
      </c>
      <c r="B974" s="36">
        <v>46066</v>
      </c>
      <c r="C974" s="36">
        <v>46066</v>
      </c>
      <c r="D974" s="36">
        <v>46126</v>
      </c>
      <c r="E974" s="37" t="s">
        <v>1690</v>
      </c>
      <c r="F974" s="37" t="s">
        <v>54</v>
      </c>
      <c r="G974" s="43">
        <v>50</v>
      </c>
      <c r="H974" s="34" t="s">
        <v>1691</v>
      </c>
      <c r="I974" s="26" t="s">
        <v>34</v>
      </c>
    </row>
    <row r="975" spans="1:9" x14ac:dyDescent="0.3">
      <c r="A975" s="35" t="s">
        <v>74</v>
      </c>
      <c r="B975" s="36">
        <v>46066</v>
      </c>
      <c r="C975" s="36">
        <v>46066</v>
      </c>
      <c r="D975" s="36">
        <v>46129</v>
      </c>
      <c r="E975" s="37" t="s">
        <v>1692</v>
      </c>
      <c r="F975" s="37" t="s">
        <v>6</v>
      </c>
      <c r="G975" s="43">
        <v>72</v>
      </c>
      <c r="H975" s="34" t="s">
        <v>1693</v>
      </c>
      <c r="I975" s="26" t="s">
        <v>39</v>
      </c>
    </row>
    <row r="976" spans="1:9" x14ac:dyDescent="0.3">
      <c r="A976" s="35" t="s">
        <v>132</v>
      </c>
      <c r="B976" s="36">
        <v>46065</v>
      </c>
      <c r="C976" s="36">
        <v>46066</v>
      </c>
      <c r="D976" s="36">
        <v>46125</v>
      </c>
      <c r="E976" s="37" t="s">
        <v>1694</v>
      </c>
      <c r="F976" s="37" t="s">
        <v>6</v>
      </c>
      <c r="G976" s="43">
        <v>290</v>
      </c>
      <c r="H976" s="34" t="s">
        <v>1695</v>
      </c>
      <c r="I976" s="26" t="s">
        <v>34</v>
      </c>
    </row>
    <row r="977" spans="1:9" x14ac:dyDescent="0.3">
      <c r="A977" s="35" t="s">
        <v>711</v>
      </c>
      <c r="B977" s="36">
        <v>46065</v>
      </c>
      <c r="C977" s="36">
        <v>46066</v>
      </c>
      <c r="D977" s="36">
        <v>46127</v>
      </c>
      <c r="E977" s="37" t="s">
        <v>1696</v>
      </c>
      <c r="F977" s="37" t="s">
        <v>6</v>
      </c>
      <c r="G977" s="43">
        <v>15</v>
      </c>
      <c r="H977" s="34" t="s">
        <v>1697</v>
      </c>
      <c r="I977" s="26" t="s">
        <v>34</v>
      </c>
    </row>
    <row r="978" spans="1:9" x14ac:dyDescent="0.3">
      <c r="A978" s="35" t="s">
        <v>711</v>
      </c>
      <c r="B978" s="36">
        <v>46065</v>
      </c>
      <c r="C978" s="36">
        <v>46066</v>
      </c>
      <c r="D978" s="36">
        <v>46127</v>
      </c>
      <c r="E978" s="37" t="s">
        <v>1698</v>
      </c>
      <c r="F978" s="37" t="s">
        <v>6</v>
      </c>
      <c r="G978" s="43">
        <v>2</v>
      </c>
      <c r="H978" s="34" t="s">
        <v>1699</v>
      </c>
      <c r="I978" s="26" t="s">
        <v>34</v>
      </c>
    </row>
    <row r="979" spans="1:9" x14ac:dyDescent="0.3">
      <c r="A979" s="35" t="s">
        <v>275</v>
      </c>
      <c r="B979" s="36">
        <v>46065</v>
      </c>
      <c r="C979" s="36">
        <v>46066</v>
      </c>
      <c r="D979" s="36">
        <v>46127</v>
      </c>
      <c r="E979" s="37" t="s">
        <v>1700</v>
      </c>
      <c r="F979" s="37" t="s">
        <v>6</v>
      </c>
      <c r="G979" s="43">
        <v>11</v>
      </c>
      <c r="H979" s="34" t="s">
        <v>1701</v>
      </c>
      <c r="I979" s="26" t="s">
        <v>34</v>
      </c>
    </row>
    <row r="980" spans="1:9" x14ac:dyDescent="0.3">
      <c r="A980" s="39" t="s">
        <v>275</v>
      </c>
      <c r="B980" s="40">
        <v>46065</v>
      </c>
      <c r="C980" s="40">
        <v>46066</v>
      </c>
      <c r="D980" s="40">
        <v>46127</v>
      </c>
      <c r="E980" s="41" t="s">
        <v>1702</v>
      </c>
      <c r="F980" s="41" t="s">
        <v>6</v>
      </c>
      <c r="G980" s="44">
        <v>9</v>
      </c>
      <c r="H980" s="34" t="s">
        <v>1703</v>
      </c>
      <c r="I980" s="26" t="s">
        <v>34</v>
      </c>
    </row>
    <row r="981" spans="1:9" x14ac:dyDescent="0.3">
      <c r="A981" s="35" t="s">
        <v>332</v>
      </c>
      <c r="B981" s="36">
        <v>46070</v>
      </c>
      <c r="C981" s="36">
        <v>46070</v>
      </c>
      <c r="D981" s="36">
        <v>46067</v>
      </c>
      <c r="E981" s="37" t="s">
        <v>1705</v>
      </c>
      <c r="F981" s="37" t="s">
        <v>6</v>
      </c>
      <c r="G981" s="43">
        <v>9</v>
      </c>
      <c r="H981" s="34" t="s">
        <v>1706</v>
      </c>
      <c r="I981" s="26" t="s">
        <v>31</v>
      </c>
    </row>
    <row r="982" spans="1:9" x14ac:dyDescent="0.3">
      <c r="A982" s="35" t="s">
        <v>332</v>
      </c>
      <c r="B982" s="36">
        <v>46070</v>
      </c>
      <c r="C982" s="36">
        <v>46070</v>
      </c>
      <c r="D982" s="36">
        <v>46067</v>
      </c>
      <c r="E982" s="37" t="s">
        <v>1707</v>
      </c>
      <c r="F982" s="37" t="s">
        <v>6</v>
      </c>
      <c r="G982" s="43">
        <v>46</v>
      </c>
      <c r="H982" s="34" t="s">
        <v>1708</v>
      </c>
      <c r="I982" s="26" t="s">
        <v>31</v>
      </c>
    </row>
    <row r="983" spans="1:9" x14ac:dyDescent="0.3">
      <c r="A983" s="35" t="s">
        <v>5</v>
      </c>
      <c r="B983" s="36">
        <v>46066</v>
      </c>
      <c r="C983" s="36">
        <v>46070</v>
      </c>
      <c r="D983" s="36">
        <v>46126</v>
      </c>
      <c r="E983" s="37" t="s">
        <v>1709</v>
      </c>
      <c r="F983" s="37" t="s">
        <v>54</v>
      </c>
      <c r="G983" s="43">
        <v>131</v>
      </c>
      <c r="H983" s="34" t="s">
        <v>1710</v>
      </c>
      <c r="I983" s="26" t="s">
        <v>47</v>
      </c>
    </row>
    <row r="984" spans="1:9" x14ac:dyDescent="0.3">
      <c r="A984" s="35" t="s">
        <v>267</v>
      </c>
      <c r="B984" s="36">
        <v>46065</v>
      </c>
      <c r="C984" s="36">
        <v>46070</v>
      </c>
      <c r="D984" s="36">
        <v>46122</v>
      </c>
      <c r="E984" s="37" t="s">
        <v>1711</v>
      </c>
      <c r="F984" s="37" t="s">
        <v>54</v>
      </c>
      <c r="G984" s="43">
        <v>49</v>
      </c>
      <c r="H984" s="34" t="s">
        <v>1712</v>
      </c>
      <c r="I984" s="26" t="s">
        <v>33</v>
      </c>
    </row>
    <row r="985" spans="1:9" x14ac:dyDescent="0.3">
      <c r="A985" s="35" t="s">
        <v>74</v>
      </c>
      <c r="B985" s="36">
        <v>46069</v>
      </c>
      <c r="C985" s="36">
        <v>46070</v>
      </c>
      <c r="D985" s="36">
        <v>46132</v>
      </c>
      <c r="E985" s="37" t="s">
        <v>1713</v>
      </c>
      <c r="F985" s="37" t="s">
        <v>54</v>
      </c>
      <c r="G985" s="43">
        <v>91</v>
      </c>
      <c r="H985" s="34" t="s">
        <v>1714</v>
      </c>
      <c r="I985" s="26" t="s">
        <v>47</v>
      </c>
    </row>
    <row r="986" spans="1:9" x14ac:dyDescent="0.3">
      <c r="A986" s="35" t="s">
        <v>198</v>
      </c>
      <c r="B986" s="36">
        <v>46071</v>
      </c>
      <c r="C986" s="36">
        <v>46071</v>
      </c>
      <c r="D986" s="36">
        <v>46136</v>
      </c>
      <c r="E986" s="37" t="s">
        <v>459</v>
      </c>
      <c r="F986" s="37" t="s">
        <v>54</v>
      </c>
      <c r="G986" s="43">
        <v>3</v>
      </c>
      <c r="H986" s="34" t="s">
        <v>200</v>
      </c>
      <c r="I986" s="26" t="s">
        <v>41</v>
      </c>
    </row>
    <row r="987" spans="1:9" x14ac:dyDescent="0.3">
      <c r="A987" s="35" t="s">
        <v>5</v>
      </c>
      <c r="B987" s="36">
        <v>46066</v>
      </c>
      <c r="C987" s="36">
        <v>46071</v>
      </c>
      <c r="D987" s="36">
        <v>46094</v>
      </c>
      <c r="E987" s="37" t="s">
        <v>1715</v>
      </c>
      <c r="F987" s="37" t="s">
        <v>54</v>
      </c>
      <c r="G987" s="43">
        <v>38</v>
      </c>
      <c r="H987" s="34" t="s">
        <v>1716</v>
      </c>
      <c r="I987" s="26" t="s">
        <v>45</v>
      </c>
    </row>
    <row r="988" spans="1:9" x14ac:dyDescent="0.3">
      <c r="A988" s="35" t="s">
        <v>5</v>
      </c>
      <c r="B988" s="36">
        <v>46066</v>
      </c>
      <c r="C988" s="36">
        <v>46071</v>
      </c>
      <c r="D988" s="36">
        <v>46094</v>
      </c>
      <c r="E988" s="37" t="s">
        <v>1717</v>
      </c>
      <c r="F988" s="37" t="s">
        <v>54</v>
      </c>
      <c r="G988" s="43">
        <v>5</v>
      </c>
      <c r="H988" s="34" t="s">
        <v>1718</v>
      </c>
      <c r="I988" s="26" t="s">
        <v>45</v>
      </c>
    </row>
    <row r="989" spans="1:9" x14ac:dyDescent="0.3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1719</v>
      </c>
      <c r="F989" s="37" t="s">
        <v>54</v>
      </c>
      <c r="G989" s="43">
        <v>15</v>
      </c>
      <c r="H989" s="34" t="s">
        <v>1720</v>
      </c>
      <c r="I989" s="26" t="s">
        <v>45</v>
      </c>
    </row>
    <row r="990" spans="1:9" x14ac:dyDescent="0.3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1721</v>
      </c>
      <c r="F990" s="37" t="s">
        <v>54</v>
      </c>
      <c r="G990" s="43">
        <v>3</v>
      </c>
      <c r="H990" s="34" t="s">
        <v>1722</v>
      </c>
      <c r="I990" s="26" t="s">
        <v>45</v>
      </c>
    </row>
    <row r="991" spans="1:9" x14ac:dyDescent="0.3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1723</v>
      </c>
      <c r="F991" s="37" t="s">
        <v>54</v>
      </c>
      <c r="G991" s="43">
        <v>12</v>
      </c>
      <c r="H991" s="34" t="s">
        <v>1724</v>
      </c>
      <c r="I991" s="26" t="s">
        <v>45</v>
      </c>
    </row>
    <row r="992" spans="1:9" x14ac:dyDescent="0.3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1725</v>
      </c>
      <c r="F992" s="37" t="s">
        <v>54</v>
      </c>
      <c r="G992" s="43">
        <v>38</v>
      </c>
      <c r="H992" s="34" t="s">
        <v>1726</v>
      </c>
      <c r="I992" s="26" t="s">
        <v>45</v>
      </c>
    </row>
    <row r="993" spans="1:9" x14ac:dyDescent="0.3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1727</v>
      </c>
      <c r="F993" s="37" t="s">
        <v>54</v>
      </c>
      <c r="G993" s="43">
        <v>19</v>
      </c>
      <c r="H993" s="34" t="s">
        <v>1728</v>
      </c>
      <c r="I993" s="26" t="s">
        <v>45</v>
      </c>
    </row>
    <row r="994" spans="1:9" x14ac:dyDescent="0.3">
      <c r="A994" s="35" t="s">
        <v>64</v>
      </c>
      <c r="B994" s="36">
        <v>46066</v>
      </c>
      <c r="C994" s="36">
        <v>46071</v>
      </c>
      <c r="D994" s="36">
        <v>46094</v>
      </c>
      <c r="E994" s="37" t="s">
        <v>1729</v>
      </c>
      <c r="F994" s="37" t="s">
        <v>54</v>
      </c>
      <c r="G994" s="43">
        <v>6</v>
      </c>
      <c r="H994" s="34" t="s">
        <v>1730</v>
      </c>
      <c r="I994" s="26" t="s">
        <v>45</v>
      </c>
    </row>
    <row r="995" spans="1:9" x14ac:dyDescent="0.3">
      <c r="A995" s="39" t="s">
        <v>5</v>
      </c>
      <c r="B995" s="40">
        <v>46066</v>
      </c>
      <c r="C995" s="40">
        <v>46071</v>
      </c>
      <c r="D995" s="40">
        <v>46126</v>
      </c>
      <c r="E995" s="41" t="s">
        <v>1731</v>
      </c>
      <c r="F995" s="41" t="s">
        <v>54</v>
      </c>
      <c r="G995" s="44">
        <v>22</v>
      </c>
      <c r="H995" s="34" t="s">
        <v>1732</v>
      </c>
      <c r="I995" s="26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I3:I995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6640625" defaultRowHeight="14.4" x14ac:dyDescent="0.3"/>
  <cols>
    <col min="1" max="1" width="28.44140625" bestFit="1" customWidth="1"/>
    <col min="2" max="2" width="7.6640625" style="22" bestFit="1" customWidth="1"/>
  </cols>
  <sheetData>
    <row r="1" spans="1:2" ht="93.6" x14ac:dyDescent="0.3">
      <c r="A1" s="1" t="s">
        <v>25</v>
      </c>
    </row>
    <row r="2" spans="1:2" x14ac:dyDescent="0.3">
      <c r="A2" s="15" t="s">
        <v>16</v>
      </c>
      <c r="B2" s="23" t="s">
        <v>15</v>
      </c>
    </row>
    <row r="3" spans="1:2" x14ac:dyDescent="0.3">
      <c r="A3" s="17" t="s">
        <v>17</v>
      </c>
      <c r="B3" s="24">
        <f>SUM('Call Center Relocations Report'!G:G)</f>
        <v>163</v>
      </c>
    </row>
    <row r="4" spans="1:2" x14ac:dyDescent="0.3">
      <c r="A4" s="17" t="s">
        <v>9</v>
      </c>
      <c r="B4" s="24">
        <f>COUNTIF('Call Center Relocations Report'!F:F,"Layoff Permanent")</f>
        <v>1</v>
      </c>
    </row>
    <row r="5" spans="1:2" x14ac:dyDescent="0.3">
      <c r="A5" s="17" t="s">
        <v>10</v>
      </c>
      <c r="B5" s="24">
        <f>COUNTIF('Call Center Relocations Report'!F:F,"Layoff Temporary")</f>
        <v>0</v>
      </c>
    </row>
    <row r="6" spans="1:2" x14ac:dyDescent="0.3">
      <c r="A6" s="17" t="s">
        <v>11</v>
      </c>
      <c r="B6" s="24">
        <f>COUNTIF('Call Center Relocations Report'!F:F,"Layoff Not Identified")</f>
        <v>0</v>
      </c>
    </row>
    <row r="7" spans="1:2" x14ac:dyDescent="0.3">
      <c r="A7" s="17" t="s">
        <v>12</v>
      </c>
      <c r="B7" s="24">
        <f>COUNTIF('Call Center Relocations Report'!F:F,"Closure Permanent")</f>
        <v>0</v>
      </c>
    </row>
    <row r="8" spans="1:2" x14ac:dyDescent="0.3">
      <c r="A8" s="17" t="s">
        <v>13</v>
      </c>
      <c r="B8" s="24">
        <f>COUNTIF('Call Center Relocations Report'!F:F,"Closure Temporary")</f>
        <v>0</v>
      </c>
    </row>
    <row r="9" spans="1:2" x14ac:dyDescent="0.3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6640625" defaultRowHeight="14.4" x14ac:dyDescent="0.3"/>
  <cols>
    <col min="1" max="1" width="31.109375" customWidth="1"/>
    <col min="2" max="2" width="8.44140625" style="18" bestFit="1" customWidth="1"/>
    <col min="3" max="3" width="12.109375" style="18" bestFit="1" customWidth="1"/>
    <col min="4" max="4" width="10.33203125" style="18" bestFit="1" customWidth="1"/>
    <col min="5" max="5" width="31.33203125" style="1" bestFit="1" customWidth="1"/>
    <col min="6" max="6" width="13.44140625" bestFit="1" customWidth="1"/>
    <col min="7" max="7" width="12.109375" bestFit="1" customWidth="1"/>
    <col min="8" max="8" width="34.44140625" bestFit="1" customWidth="1"/>
  </cols>
  <sheetData>
    <row r="1" spans="1:8" ht="99" x14ac:dyDescent="0.3">
      <c r="A1" s="25" t="s">
        <v>1704</v>
      </c>
      <c r="E1"/>
    </row>
    <row r="2" spans="1:8" ht="24.6" x14ac:dyDescent="0.3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6640625" defaultRowHeight="14.4" x14ac:dyDescent="0.3"/>
  <cols>
    <col min="1" max="1" width="67.3320312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7" spans="1:1" x14ac:dyDescent="0.3">
      <c r="A7" t="s">
        <v>36</v>
      </c>
    </row>
    <row r="8" spans="1:1" x14ac:dyDescent="0.3">
      <c r="A8" t="s">
        <v>37</v>
      </c>
    </row>
    <row r="9" spans="1:1" x14ac:dyDescent="0.3">
      <c r="A9" t="s">
        <v>38</v>
      </c>
    </row>
    <row r="10" spans="1:1" x14ac:dyDescent="0.3">
      <c r="A10" t="s">
        <v>39</v>
      </c>
    </row>
    <row r="11" spans="1:1" x14ac:dyDescent="0.3">
      <c r="A11" t="s">
        <v>40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43</v>
      </c>
    </row>
    <row r="15" spans="1:1" x14ac:dyDescent="0.3">
      <c r="A15" t="s">
        <v>44</v>
      </c>
    </row>
    <row r="16" spans="1:1" x14ac:dyDescent="0.3">
      <c r="A16" t="s">
        <v>45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2026-02-19T16:47:42Z</dcterms:modified>
  <cp:category>Calculating WARN Report</cp:category>
</cp:coreProperties>
</file>