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8_{DDBC0DF6-9E24-475C-8C2A-C775B43619BB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<sst xmlns="http://schemas.openxmlformats.org/spreadsheetml/2006/main" count="3616" uniqueCount="1289">
  <si>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</si>
  <si>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</si>
  <si>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</si>
  <si>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</si>
  <si>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</si>
  <si>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</si>
  <si>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</si>
  <si>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</si>
  <si>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</si>
  <si>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</si>
  <si>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</si>
  <si>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</si>
  <si>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</si>
  <si>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</si>
  <si>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</si>
  <si>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</si>
  <si>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</si>
  <si>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</si>
  <si>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</si>
  <si>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</si>
  <si>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</si>
  <si>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</si>
  <si>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</si>
  <si>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</si>
  <si>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</si>
  <si>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</si>
  <si>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</si>
  <si>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</si>
  <si>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</si>
  <si>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</si>
  <si>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</si>
  <si>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</si>
  <si>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</si>
  <si>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</si>
  <si>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</si>
  <si>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</si>
  <si>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</si>
  <si>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</si>
  <si>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</si>
  <si>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</si>
  <si>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</si>
  <si>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</si>
  <si>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</si>
  <si>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</si>
  <si>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</si>
  <si>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</si>
  <si>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</si>
  <si>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</si>
  <si>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</si>
  <si>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</si>
  <si>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</si>
  <si>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</si>
  <si>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</si>
  <si>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</si>
  <si>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</si>
  <si>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</si>
  <si>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</si>
  <si>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</si>
  <si>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</si>
  <si>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</si>
  <si>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</si>
  <si>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</si>
  <si>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</si>
  <si>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</si>
  <si>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</si>
  <si>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</si>
  <si>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</si>
  <si>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</si>
  <si>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</si>
  <si>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</si>
  <si>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</si>
  <si>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</si>
  <si>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</si>
  <si>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</si>
  <si>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</si>
  <si>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</si>
  <si>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</si>
  <si>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</si>
  <si>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</si>
  <si>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</si>
  <si>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</si>
  <si>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</si>
  <si>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</si>
  <si>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</si>
  <si>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</si>
  <si>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</si>
  <si>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</si>
  <si>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</si>
  <si>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</si>
  <si>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</si>
  <si>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</si>
  <si>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</si>
  <si>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</si>
  <si>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</si>
  <si>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</si>
  <si>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</si>
  <si>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</si>
  <si>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</si>
  <si>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</si>
  <si>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</si>
  <si>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</si>
  <si>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</si>
  <si>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</si>
  <si>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</si>
  <si>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</si>
  <si>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</si>
  <si>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</si>
  <si>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</si>
  <si>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</si>
  <si>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</si>
  <si>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</si>
  <si>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</si>
  <si>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</si>
  <si>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</si>
  <si>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</si>
  <si>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</si>
  <si>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</si>
  <si>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</si>
  <si>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</si>
  <si>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</si>
  <si>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</si>
  <si>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</si>
  <si>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</si>
  <si>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</si>
  <si>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</si>
  <si>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</si>
  <si>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</si>
  <si>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</si>
  <si>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</si>
  <si>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</si>
  <si>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</si>
  <si>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</si>
  <si>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</si>
  <si>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</si>
  <si>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</si>
  <si>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</si>
  <si>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</si>
  <si>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</si>
  <si>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</si>
  <si>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</si>
  <si>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</si>
  <si>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</si>
  <si>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</si>
  <si>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</si>
  <si>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</si>
  <si>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</si>
  <si>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</si>
  <si>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</si>
  <si>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</si>
  <si>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</si>
  <si>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</si>
  <si>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</si>
  <si>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</si>
  <si>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</si>
  <si>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</si>
  <si>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</si>
  <si>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</si>
  <si>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</si>
  <si>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</si>
  <si>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</si>
  <si>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</si>
  <si>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</si>
  <si>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</si>
  <si>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</si>
  <si>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</si>
  <si>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</si>
  <si>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</si>
  <si>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</si>
  <si>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</si>
  <si>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</si>
  <si>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</si>
  <si>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</si>
  <si>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</si>
  <si>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</si>
  <si>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</si>
  <si>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</si>
  <si>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</si>
  <si>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</si>
  <si>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</si>
  <si>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</si>
  <si>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</si>
  <si>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</si>
  <si>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</si>
  <si>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</si>
  <si>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</si>
  <si>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</si>
  <si>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</si>
  <si>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</si>
  <si>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</si>
  <si>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</si>
  <si>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</si>
  <si>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</si>
  <si>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</si>
  <si>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</si>
  <si>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</si>
  <si>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</si>
  <si>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</si>
  <si>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</si>
  <si>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</si>
  <si>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</si>
  <si>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</si>
  <si>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</si>
  <si>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</si>
  <si>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</si>
  <si>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</si>
  <si>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</si>
  <si>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</si>
  <si>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</si>
  <si>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</si>
  <si>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</si>
  <si>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</si>
  <si>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</si>
  <si>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</si>
  <si>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</si>
  <si>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</si>
  <si>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</si>
  <si>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</si>
  <si>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</si>
  <si>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</si>
  <si>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</si>
  <si>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</si>
  <si>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</si>
  <si>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</si>
  <si>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</si>
  <si>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</si>
  <si>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</si>
  <si>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</si>
  <si>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</si>
  <si>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</si>
  <si>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</si>
  <si>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</si>
  <si>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</si>
  <si>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</si>
  <si>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</si>
  <si>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</si>
  <si>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</si>
  <si>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</si>
  <si>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</si>
  <si>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</si>
  <si>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</si>
  <si>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</si>
  <si>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</si>
  <si>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</si>
  <si>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</si>
  <si>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</si>
  <si>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</si>
  <si>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</si>
  <si>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</si>
  <si>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</si>
  <si>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</si>
  <si>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</si>
  <si>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</si>
  <si>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</si>
  <si>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</si>
  <si>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</si>
  <si>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</si>
  <si>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</si>
  <si>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</si>
  <si>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</si>
  <si>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</si>
  <si>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</si>
  <si>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</si>
  <si>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</si>
  <si>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</si>
  <si>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</si>
  <si>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</si>
  <si>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</si>
  <si>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</si>
  <si>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</si>
  <si>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</si>
  <si>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</si>
  <si>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</si>
  <si>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</si>
  <si>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</si>
  <si>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</si>
  <si>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</si>
  <si>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</si>
  <si>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</si>
  <si>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</si>
  <si>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</si>
  <si>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</si>
  <si>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</si>
  <si>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</si>
  <si>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</si>
  <si>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</si>
  <si>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</si>
  <si>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</si>
  <si>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</si>
  <si>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</si>
  <si>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</si>
  <si>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</si>
  <si>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</si>
  <si>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</si>
  <si>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</si>
  <si>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</si>
  <si>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</si>
  <si>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</si>
  <si>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</si>
  <si>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</si>
  <si>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</si>
  <si>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</si>
  <si>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</si>
  <si>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</si>
  <si>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</si>
  <si>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</si>
  <si>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</si>
  <si>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</si>
  <si>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</si>
  <si>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</si>
  <si>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</si>
  <si>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</si>
  <si>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</si>
  <si>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</si>
  <si>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</si>
  <si>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</si>
  <si>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</si>
  <si>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</si>
  <si>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</si>
  <si>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</si>
  <si>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</si>
  <si>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</si>
  <si>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</si>
  <si>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</si>
  <si>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</si>
  <si>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</si>
  <si>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</si>
  <si>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</si>
  <si>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</si>
  <si>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</si>
  <si>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</si>
  <si>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</si>
  <si>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</si>
  <si>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</si>
  <si>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</si>
  <si>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</si>
  <si>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</si>
  <si>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</si>
  <si>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</si>
  <si>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</si>
  <si>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</si>
  <si>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</si>
  <si>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</si>
  <si>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</si>
  <si>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</si>
  <si>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</si>
  <si>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</si>
  <si>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</si>
  <si>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</si>
  <si>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</si>
  <si>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</si>
  <si>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</si>
  <si>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</si>
  <si>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</si>
  <si>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</si>
  <si>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</si>
  <si>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</si>
  <si>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</si>
  <si>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</si>
  <si>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</si>
  <si>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</si>
  <si>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</si>
  <si>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</si>
  <si>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</si>
  <si>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</si>
  <si>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</si>
  <si>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</si>
  <si>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</si>
  <si>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</si>
  <si>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</si>
  <si>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</si>
  <si>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</si>
  <si>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</si>
  <si>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</si>
  <si>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</si>
  <si>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</si>
  <si>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</si>
  <si>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</si>
  <si>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</si>
  <si>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</si>
  <si>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</si>
  <si>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</si>
  <si>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</si>
  <si>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</si>
  <si>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</si>
  <si>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</si>
  <si>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</si>
  <si>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</si>
  <si>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</si>
  <si>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</si>
  <si>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</si>
  <si>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</si>
  <si>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</si>
  <si>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</si>
  <si>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</si>
  <si>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</si>
  <si>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</si>
  <si>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</si>
  <si>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</si>
  <si>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</si>
  <si>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</si>
  <si>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</si>
  <si>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</si>
  <si>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</si>
  <si>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</si>
  <si>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</si>
  <si>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</si>
  <si>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</si>
  <si>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</si>
  <si>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</si>
  <si>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</si>
  <si>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</si>
  <si>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</si>
  <si>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</si>
  <si>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</si>
  <si>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</si>
  <si>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</si>
  <si>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</si>
  <si>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</si>
  <si>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</si>
  <si>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</si>
  <si>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</si>
  <si>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</si>
  <si>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</si>
  <si>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</si>
  <si>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</si>
  <si>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</si>
  <si>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</si>
  <si>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</si>
  <si>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</si>
  <si>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</si>
  <si>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</si>
  <si>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</si>
  <si>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</si>
  <si>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</si>
  <si>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</si>
  <si>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</si>
  <si>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</si>
  <si>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</si>
  <si>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</si>
  <si>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</si>
  <si>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</si>
  <si>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</si>
  <si>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</si>
  <si>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</si>
  <si>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</si>
  <si>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</si>
  <si>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</si>
  <si>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</si>
  <si>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</si>
  <si>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</si>
  <si>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</si>
  <si>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</si>
  <si>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</si>
  <si>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</si>
  <si>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</si>
  <si>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</si>
  <si>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</si>
  <si>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</si>
  <si>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</si>
  <si>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</si>
  <si>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</si>
  <si>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</si>
  <si>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</si>
  <si>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</si>
  <si>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</si>
  <si>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</si>
  <si>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</si>
  <si>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</si>
  <si>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</si>
  <si>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</si>
  <si>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</si>
  <si>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</si>
  <si>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</si>
  <si>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</si>
  <si>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</si>
  <si>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</si>
  <si>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</si>
  <si>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</si>
  <si>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</si>
  <si>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</si>
  <si>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</si>
  <si>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</si>
  <si>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</si>
  <si>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</si>
  <si>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</si>
  <si>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</si>
  <si>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</si>
  <si>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</si>
  <si>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</si>
  <si>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</si>
  <si>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</si>
  <si>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</si>
  <si>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</si>
  <si>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</si>
  <si>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</si>
  <si>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</si>
  <si>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</si>
  <si>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</si>
  <si>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</si>
  <si>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</si>
  <si>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</si>
  <si>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</si>
  <si>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</si>
  <si>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</si>
  <si>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</si>
  <si>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</si>
  <si>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</si>
  <si>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</si>
  <si>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</si>
  <si>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</si>
  <si>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</si>
  <si>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</si>
  <si>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</si>
  <si>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</si>
  <si>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</si>
  <si>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</si>
  <si>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</si>
  <si>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</si>
  <si>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</si>
  <si>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</si>
  <si>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</si>
  <si>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</si>
  <si>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</si>
  <si>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</si>
  <si>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</si>
  <si>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</si>
  <si>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</si>
  <si>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</si>
  <si>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</si>
  <si>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</si>
  <si>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</si>
  <si>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</si>
  <si>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</si>
  <si>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</si>
  <si>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</si>
  <si>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</si>
  <si>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</si>
  <si>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</si>
  <si>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</si>
  <si>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</si>
  <si>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</si>
  <si>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</si>
  <si>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</si>
  <si>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</si>
  <si>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</si>
  <si>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</si>
  <si>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</si>
  <si>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</si>
  <si>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</si>
  <si>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</si>
  <si>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</si>
  <si>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</si>
  <si>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</si>
  <si>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</si>
  <si>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</si>
  <si>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</si>
  <si>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</si>
  <si>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</si>
  <si>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</si>
  <si>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</si>
  <si>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</si>
  <si>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</si>
  <si>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</si>
  <si>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</si>
  <si>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</si>
  <si>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</si>
  <si>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</si>
  <si>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</si>
  <si>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</si>
  <si>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</si>
  <si>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</si>
  <si>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</si>
  <si>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</si>
  <si>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</si>
  <si>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</si>
  <si>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</si>
  <si>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</si>
  <si>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</si>
  <si>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</si>
  <si>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</si>
  <si>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</si>
  <si>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</si>
  <si>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</si>
  <si>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</si>
  <si>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</si>
  <si>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</si>
  <si>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</si>
  <si>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</si>
  <si>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</si>
  <si>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</si>
  <si>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</si>
  <si>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</si>
  <si>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</si>
  <si>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</si>
  <si>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</si>
  <si>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</si>
  <si>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</si>
  <si>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</si>
  <si>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</si>
  <si>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</si>
  <si>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</si>
  <si>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</si>
  <si>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</si>
  <si>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</si>
  <si>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</si>
  <si>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</si>
  <si>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</si>
  <si>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</si>
  <si>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</si>
  <si>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</si>
  <si>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</si>
  <si>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</si>
  <si>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</si>
  <si>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</si>
  <si>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</si>
  <si>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</si>
  <si>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</si>
  <si>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</si>
  <si>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</si>
  <si>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</si>
  <si>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</si>
  <si>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</si>
  <si>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</si>
  <si>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</si>
  <si>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</si>
  <si>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</si>
  <si>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</si>
  <si>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</si>
  <si>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</si>
  <si>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</si>
  <si>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</si>
  <si>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</si>
  <si>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</si>
  <si>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</si>
  <si>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</si>
  <si>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</si>
  <si>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</si>
  <si>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</si>
  <si>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</si>
  <si>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</si>
  <si>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</si>
  <si>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</si>
  <si>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</si>
  <si>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</si>
  <si>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</si>
  <si>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</si>
  <si>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</si>
  <si>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</si>
  <si>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</si>
  <si>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</si>
  <si>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</si>
  <si>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</si>
  <si>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</si>
  <si>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</si>
  <si>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</si>
  <si>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</si>
  <si>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</si>
  <si>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</si>
  <si>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</si>
  <si>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</si>
  <si>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</si>
  <si>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</si>
  <si>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</si>
  <si>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</si>
  <si>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</si>
  <si>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</si>
  <si>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</si>
  <si>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</si>
  <si>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</si>
  <si>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</si>
  <si>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</si>
  <si>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</si>
  <si>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</si>
  <si>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</si>
  <si>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</si>
  <si>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</si>
  <si>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</si>
  <si>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</si>
  <si>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</si>
  <si>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</si>
  <si>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</si>
  <si>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</si>
  <si>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</si>
  <si>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</si>
  <si>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</si>
  <si>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</si>
  <si>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</si>
  <si>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</si>
  <si>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</si>
  <si>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</si>
  <si>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</si>
  <si>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</si>
  <si>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</si>
  <si>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</si>
  <si>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</si>
  <si>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</si>
  <si>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</si>
  <si>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</si>
  <si>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</si>
  <si>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</si>
  <si>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</si>
  <si>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</si>
  <si>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</si>
  <si>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</si>
  <si>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</si>
  <si>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</si>
  <si>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</si>
  <si>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</si>
  <si>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</si>
  <si>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</si>
  <si>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</si>
  <si>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</si>
  <si>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</si>
  <si>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</si>
  <si>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</si>
  <si>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</si>
  <si>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</si>
  <si>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</si>
  <si>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</si>
  <si>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</si>
  <si>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</si>
  <si>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</si>
  <si>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</si>
  <si>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</si>
  <si>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</si>
  <si>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</si>
  <si>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</si>
  <si>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</si>
  <si>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</si>
  <si>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</si>
  <si>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</si>
  <si>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</si>
  <si>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</si>
  <si>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</si>
  <si>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</si>
  <si>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</si>
  <si>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</si>
  <si>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</si>
  <si>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</si>
  <si>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</si>
  <si>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</si>
  <si>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</si>
  <si>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</si>
  <si>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</si>
  <si>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</si>
  <si>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</si>
  <si>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</si>
  <si>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</si>
  <si>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</si>
  <si>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</si>
  <si>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</si>
  <si>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</si>
  <si>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</si>
  <si>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</si>
  <si>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</si>
  <si>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</si>
  <si>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</si>
  <si>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</si>
  <si>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</si>
  <si>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</si>
  <si>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</si>
  <si>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</si>
  <si>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</si>
  <si>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</si>
  <si>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</si>
  <si>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</si>
  <si>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</si>
  <si>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</si>
  <si>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</si>
  <si>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</si>
  <si>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</si>
  <si>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</si>
  <si>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</si>
  <si>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</si>
  <si>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</si>
  <si>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</si>
  <si>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</si>
  <si>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</si>
  <si>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</si>
  <si>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</si>
  <si>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</si>
  <si>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</si>
  <si>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</si>
  <si>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</si>
  <si>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</si>
  <si>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</si>
  <si>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</si>
  <si>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</si>
  <si>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</si>
  <si>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</si>
  <si>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</si>
  <si>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</si>
  <si>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</si>
  <si>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</si>
  <si>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</si>
  <si>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</si>
  <si>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</si>
  <si>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</si>
  <si>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</si>
  <si>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</si>
  <si>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</si>
  <si>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</si>
  <si>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</si>
  <si>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</si>
  <si>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</si>
  <si>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</si>
  <si>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</si>
  <si>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</si>
  <si>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</si>
  <si>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</si>
  <si>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</si>
  <si>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</si>
  <si>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</si>
  <si>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</si>
  <si>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</si>
  <si>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</si>
  <si>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</si>
  <si>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</si>
  <si>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</si>
  <si>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</si>
  <si>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</si>
  <si>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</si>
  <si>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</si>
  <si>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</si>
  <si>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</si>
  <si>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</si>
  <si>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</si>
  <si>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</si>
  <si>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</si>
  <si>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</si>
  <si>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</si>
  <si>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</si>
  <si>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</si>
  <si>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</si>
  <si>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</si>
  <si>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</si>
  <si>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</si>
  <si>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</si>
  <si>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</si>
  <si>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</si>
  <si>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</si>
  <si>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</si>
  <si>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</si>
  <si>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</si>
  <si>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</si>
  <si>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</si>
  <si>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</si>
  <si>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</si>
  <si>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</si>
  <si>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</si>
  <si>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</si>
  <si>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</si>
  <si>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</si>
  <si>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</si>
  <si>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</si>
  <si>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</si>
  <si>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</si>
  <si>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</si>
  <si>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</si>
  <si>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</si>
  <si>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</si>
  <si>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</si>
  <si>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</si>
  <si>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</si>
  <si>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</si>
  <si>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</si>
  <si>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</si>
  <si>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</si>
  <si>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</si>
  <si>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</si>
  <si>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</si>
  <si>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</si>
  <si>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</si>
  <si>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</si>
  <si>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</si>
  <si>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</si>
  <si>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</si>
  <si>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</si>
  <si>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</si>
  <si>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</si>
  <si>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</si>
  <si>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</si>
  <si>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</si>
  <si>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</si>
  <si>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</si>
  <si>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</si>
  <si>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</si>
  <si>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</si>
  <si>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</si>
  <si>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</si>
  <si>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</si>
  <si>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</si>
  <si>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</si>
  <si>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</si>
  <si>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</si>
  <si>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</si>
  <si>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</si>
  <si>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</si>
  <si>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</si>
  <si>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</si>
  <si>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</si>
  <si>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</si>
  <si>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</si>
  <si>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</si>
  <si>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</si>
  <si>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</si>
  <si>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</si>
  <si>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</si>
  <si>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</si>
  <si>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</si>
  <si>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</si>
  <si>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</si>
  <si>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</si>
  <si>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</si>
  <si>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</si>
  <si>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</si>
  <si>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</si>
  <si>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</si>
  <si>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</si>
  <si>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</si>
  <si>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</si>
  <si>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</si>
  <si>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</si>
  <si>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</si>
  <si>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</si>
  <si>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</si>
  <si>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</si>
  <si>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</si>
  <si>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</si>
  <si>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</si>
  <si>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</si>
  <si>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</si>
  <si>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</si>
  <si>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</si>
  <si>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</si>
  <si>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</si>
  <si>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</si>
  <si>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</si>
  <si>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</si>
  <si>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</si>
  <si>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</si>
  <si>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</si>
  <si>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</si>
  <si>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</si>
  <si>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</si>
  <si>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</si>
  <si>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</si>
  <si>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</si>
  <si>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</si>
  <si>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</si>
  <si>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</si>
  <si>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</si>
  <si>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</si>
  <si>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</si>
  <si>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</si>
  <si>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</si>
  <si>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</si>
  <si>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</si>
  <si>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</si>
  <si>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</si>
  <si>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</si>
  <si>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</si>
  <si>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</si>
  <si>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</si>
  <si>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</si>
  <si>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</si>
  <si>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</si>
  <si>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</si>
  <si>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</si>
  <si>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</si>
  <si>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</si>
  <si>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</si>
  <si>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</si>
  <si>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</si>
  <si>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</si>
  <si>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</si>
  <si>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</si>
  <si>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</si>
  <si>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</si>
  <si>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</si>
  <si>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</si>
  <si>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</si>
  <si>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</si>
  <si>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</si>
  <si>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</si>
  <si>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</si>
  <si>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</si>
  <si>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</si>
  <si>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</si>
  <si>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</si>
  <si>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</si>
  <si>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</si>
  <si>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</si>
  <si>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</si>
  <si>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</si>
  <si>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</si>
  <si>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</si>
  <si>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</si>
  <si>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</si>
  <si>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</si>
  <si>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</si>
  <si>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</si>
  <si>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</si>
  <si>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</si>
  <si>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</si>
  <si>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</si>
  <si>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</si>
  <si>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</si>
  <si>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</si>
  <si>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</si>
  <si>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</si>
  <si>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</si>
  <si>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</si>
  <si>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</si>
  <si>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</si>
  <si>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</si>
  <si>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</si>
  <si>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</si>
  <si>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</si>
  <si>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</si>
  <si>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</si>
  <si>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</si>
  <si>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</si>
  <si>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</si>
  <si>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</si>
  <si>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</si>
  <si>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</si>
  <si>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</si>
  <si>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</si>
  <si>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</si>
  <si>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</si>
  <si>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</si>
  <si>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</si>
  <si>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</si>
  <si>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</si>
  <si>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</si>
  <si>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</si>
  <si>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</si>
  <si>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</si>
  <si>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</si>
  <si>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</si>
  <si>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</si>
  <si>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</si>
  <si>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</si>
  <si>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</si>
  <si>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</si>
  <si>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</si>
  <si>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</si>
  <si>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</si>
  <si>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</si>
  <si>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</si>
  <si>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</si>
  <si>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</si>
  <si>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</si>
  <si>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</si>
  <si>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</si>
  <si>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</si>
  <si>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</si>
  <si>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</si>
  <si>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</si>
  <si>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</si>
  <si>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</si>
  <si>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</si>
  <si>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</si>
  <si>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</si>
  <si>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</si>
  <si>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</si>
  <si>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</si>
  <si>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</si>
  <si>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</si>
  <si>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</si>
  <si>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</si>
  <si>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</si>
  <si>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</si>
  <si>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</si>
  <si>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</si>
  <si>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</si>
  <si>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</si>
  <si>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</si>
  <si>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</si>
  <si>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</si>
  <si>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</si>
  <si>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</si>
  <si>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</si>
  <si>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</si>
  <si>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</si>
  <si>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</si>
  <si>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</si>
  <si>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</si>
  <si>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</si>
  <si>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</si>
  <si>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</si>
  <si>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</si>
  <si>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</si>
  <si>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</si>
  <si>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</si>
  <si>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</si>
  <si>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</si>
  <si>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</si>
  <si>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</si>
  <si>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</si>
  <si>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</si>
  <si>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</si>
  <si>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</si>
  <si>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</si>
  <si>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</si>
  <si>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</si>
  <si>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</si>
  <si>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</si>
  <si>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</si>
  <si>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</si>
  <si>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</si>
  <si>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</si>
  <si>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</si>
  <si>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</si>
  <si>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</si>
  <si>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</si>
  <si>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</si>
  <si>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</si>
  <si>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</si>
  <si>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</si>
  <si>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</si>
  <si>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</si>
  <si>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</si>
  <si>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</si>
  <si>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</si>
  <si>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</si>
  <si>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</si>
  <si>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</si>
  <si>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</si>
  <si>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</si>
  <si>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</si>
  <si>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</si>
  <si>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</si>
  <si>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</si>
  <si>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</si>
  <si>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</si>
  <si>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</si>
  <si>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</si>
  <si>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</si>
  <si>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</si>
  <si>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</si>
  <si>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</si>
  <si>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</si>
  <si>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</si>
  <si>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</si>
  <si>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</si>
  <si>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</si>
  <si>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</si>
  <si>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</si>
  <si>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</si>
  <si>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</si>
  <si>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</si>
  <si>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</si>
  <si>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</si>
  <si>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</si>
  <si>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</si>
  <si>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</si>
  <si>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</si>
  <si>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</si>
  <si>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</si>
  <si>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</si>
  <si>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</si>
  <si>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</si>
  <si>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</si>
  <si>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</si>
  <si>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</si>
  <si>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</si>
  <si>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</si>
  <si>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</si>
  <si>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</si>
  <si>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</si>
  <si>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</si>
  <si>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</si>
  <si>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</si>
  <si>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</si>
  <si>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</si>
  <si>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</si>
  <si>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</si>
  <si>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</si>
  <si>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</si>
  <si>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</si>
  <si>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</si>
  <si>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</si>
  <si>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</si>
  <si>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</si>
  <si>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</si>
  <si>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</si>
  <si>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</si>
  <si>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</si>
  <si>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</si>
  <si>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</si>
  <si>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</si>
  <si>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</si>
  <si>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</si>
  <si>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</si>
  <si>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</si>
  <si>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</si>
  <si>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</si>
  <si>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</si>
  <si>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</si>
  <si>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</si>
  <si>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</si>
  <si>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</si>
  <si>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</si>
  <si>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</si>
  <si>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</si>
  <si>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</si>
  <si>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</si>
  <si>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</si>
  <si>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</si>
  <si>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</si>
  <si>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</si>
  <si>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</si>
  <si>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</si>
  <si>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</si>
  <si>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</si>
  <si>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</si>
  <si>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</si>
  <si>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</si>
  <si>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</si>
  <si>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</si>
  <si>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</si>
  <si>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</si>
  <si>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</si>
  <si>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</si>
  <si>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</si>
  <si>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</si>
  <si>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</si>
  <si>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</si>
  <si>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</si>
  <si>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</si>
  <si>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</si>
  <si>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</si>
  <si>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</si>
  <si>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</si>
  <si>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</si>
  <si>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</si>
  <si>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</si>
  <si>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01/01/2023 - 11/12/2025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</si>
  <si>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</si>
  <si>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</si>
  <si>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</si>
  <si>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</si>
  <si>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</si>
  <si>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</si>
  <si>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</si>
  <si>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</si>
  <si>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</si>
  <si>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</si>
  <si>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</si>
  <si>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</si>
  <si>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</si>
  <si>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</si>
  <si>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</si>
  <si>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</si>
  <si>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</si>
  <si>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</si>
  <si>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</si>
  <si>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</si>
  <si>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</si>
  <si>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</si>
  <si>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</si>
  <si>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</si>
  <si>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</si>
  <si>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</si>
  <si>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</si>
  <si>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</si>
  <si>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</si>
  <si>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</si>
  <si>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</si>
  <si>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</si>
  <si>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</si>
  <si>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</si>
  <si>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</si>
  <si>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</si>
  <si>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</si>
  <si>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</si>
  <si>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</si>
  <si>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</si>
  <si>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</si>
  <si>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</si>
  <si>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</si>
  <si>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</si>
  <si>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</si>
  <si>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</si>
  <si>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</si>
  <si>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</si>
  <si>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r>
      <t xml:space="preserve">WARN REPORT - </t>
    </r>
    <r>
      <rPr>
        <b/>
        <sz val="12"/>
        <rFont val="Calibri"/>
        <family val="2"/>
        <scheme val="minor"/>
      </rPr>
      <t>07/01/25 to 11/12/2025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I711.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</si>
</sst>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711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35406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53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150</v>
      </c>
    </row>
    <row r="8" spans="1:2" x14ac:dyDescent="0.35">
      <c r="A8" s="2" t="s">
        <v>13</v>
      </c>
      <c r="B8" s="11">
        <f>COUNTIF('Detailed WARN Report '!F:F,"Closure Temporary")</f>
        <v>10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711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63.36328125" style="10" bestFit="1" customWidth="1"/>
    <col min="6" max="6" width="20" style="3" bestFit="1" customWidth="1"/>
    <col min="7" max="7" width="9.81640625" style="3" customWidth="1"/>
    <col min="8" max="8" width="54.36328125" style="3" bestFit="1" customWidth="1"/>
    <col min="9" max="9" width="47.7265625" style="3" bestFit="1" customWidth="1"/>
  </cols>
  <sheetData>
    <row r="1" spans="1:9" ht="100" x14ac:dyDescent="0.35">
      <c r="A1" s="16" t="s">
        <v>1288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46026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1240</v>
      </c>
      <c r="F684" s="32" t="s">
        <v>54</v>
      </c>
      <c r="G684" s="34">
        <v>86</v>
      </c>
      <c r="H684" s="34" t="s">
        <v>1241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1242</v>
      </c>
      <c r="F685" s="32" t="s">
        <v>6</v>
      </c>
      <c r="G685" s="34">
        <v>96</v>
      </c>
      <c r="H685" s="34" t="s">
        <v>1243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1244</v>
      </c>
      <c r="F686" s="32" t="s">
        <v>6</v>
      </c>
      <c r="G686" s="34">
        <v>4</v>
      </c>
      <c r="H686" s="34" t="s">
        <v>1245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1246</v>
      </c>
      <c r="F687" s="32" t="s">
        <v>6</v>
      </c>
      <c r="G687" s="34">
        <v>39</v>
      </c>
      <c r="H687" s="34" t="s">
        <v>1247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1248</v>
      </c>
      <c r="F688" s="32" t="s">
        <v>6</v>
      </c>
      <c r="G688" s="34">
        <v>4</v>
      </c>
      <c r="H688" s="34" t="s">
        <v>1249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1250</v>
      </c>
      <c r="F689" s="32" t="s">
        <v>6</v>
      </c>
      <c r="G689" s="34">
        <v>8</v>
      </c>
      <c r="H689" s="34" t="s">
        <v>1251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1252</v>
      </c>
      <c r="F690" s="32" t="s">
        <v>6</v>
      </c>
      <c r="G690" s="34">
        <v>8</v>
      </c>
      <c r="H690" s="34" t="s">
        <v>1253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1254</v>
      </c>
      <c r="F691" s="32" t="s">
        <v>6</v>
      </c>
      <c r="G691" s="34">
        <v>3</v>
      </c>
      <c r="H691" s="34" t="s">
        <v>1255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1256</v>
      </c>
      <c r="F692" s="32" t="s">
        <v>6</v>
      </c>
      <c r="G692" s="34">
        <v>13</v>
      </c>
      <c r="H692" s="34" t="s">
        <v>1257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1258</v>
      </c>
      <c r="F693" s="32" t="s">
        <v>6</v>
      </c>
      <c r="G693" s="34">
        <v>12</v>
      </c>
      <c r="H693" s="34" t="s">
        <v>1259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1260</v>
      </c>
      <c r="F694" s="32" t="s">
        <v>6</v>
      </c>
      <c r="G694" s="34">
        <v>9</v>
      </c>
      <c r="H694" s="34" t="s">
        <v>1261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1262</v>
      </c>
      <c r="F695" s="32" t="s">
        <v>6</v>
      </c>
      <c r="G695" s="34">
        <v>9</v>
      </c>
      <c r="H695" s="34" t="s">
        <v>1263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1264</v>
      </c>
      <c r="F696" s="32" t="s">
        <v>6</v>
      </c>
      <c r="G696" s="34">
        <v>5</v>
      </c>
      <c r="H696" s="34" t="s">
        <v>1265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1266</v>
      </c>
      <c r="F697" s="32" t="s">
        <v>6</v>
      </c>
      <c r="G697" s="34">
        <v>18</v>
      </c>
      <c r="H697" s="34" t="s">
        <v>1267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1268</v>
      </c>
      <c r="F698" s="32" t="s">
        <v>6</v>
      </c>
      <c r="G698" s="34">
        <v>1</v>
      </c>
      <c r="H698" s="34" t="s">
        <v>1269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1270</v>
      </c>
      <c r="F699" s="32" t="s">
        <v>6</v>
      </c>
      <c r="G699" s="34">
        <v>1</v>
      </c>
      <c r="H699" s="34" t="s">
        <v>1271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1272</v>
      </c>
      <c r="F700" s="32" t="s">
        <v>6</v>
      </c>
      <c r="G700" s="34">
        <v>1</v>
      </c>
      <c r="H700" s="34" t="s">
        <v>1273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1274</v>
      </c>
      <c r="F701" s="32" t="s">
        <v>6</v>
      </c>
      <c r="G701" s="34">
        <v>1</v>
      </c>
      <c r="H701" s="34" t="s">
        <v>1275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1276</v>
      </c>
      <c r="F702" s="32" t="s">
        <v>54</v>
      </c>
      <c r="G702" s="34">
        <v>16</v>
      </c>
      <c r="H702" s="34" t="s">
        <v>1277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1278</v>
      </c>
      <c r="F703" s="32" t="s">
        <v>6</v>
      </c>
      <c r="G703" s="34">
        <v>28</v>
      </c>
      <c r="H703" s="34" t="s">
        <v>1245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1279</v>
      </c>
      <c r="F704" s="32" t="s">
        <v>54</v>
      </c>
      <c r="G704" s="34">
        <v>45</v>
      </c>
      <c r="H704" s="34" t="s">
        <v>1280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1281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1282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1283</v>
      </c>
      <c r="F707" s="32" t="s">
        <v>6</v>
      </c>
      <c r="G707" s="34">
        <v>172</v>
      </c>
      <c r="H707" s="34" t="s">
        <v>1284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1283</v>
      </c>
      <c r="F708" s="32" t="s">
        <v>6</v>
      </c>
      <c r="G708" s="34">
        <v>1</v>
      </c>
      <c r="H708" s="34" t="s">
        <v>1285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1283</v>
      </c>
      <c r="F709" s="32" t="s">
        <v>6</v>
      </c>
      <c r="G709" s="34">
        <v>1</v>
      </c>
      <c r="H709" s="34" t="s">
        <v>1286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1283</v>
      </c>
      <c r="F710" s="32" t="s">
        <v>6</v>
      </c>
      <c r="G710" s="34">
        <v>1</v>
      </c>
      <c r="H710" s="34" t="s">
        <v>1287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I3:I711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28.8164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1239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2025-11-13T16:33:27Z</dcterms:modified>
  <cp:category>Calculating WARN Report</cp:category>
</cp:coreProperties>
</file>