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34FED68E-1FAA-4256-97A0-E1334EA87D13}" xr6:coauthVersionLast="47" xr6:coauthVersionMax="47" xr10:uidLastSave="{00000000-0000-0000-0000-000000000000}"/>
  <bookViews>
    <workbookView xWindow="-120" yWindow="-120" windowWidth="29040" windowHeight="1584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<sst xmlns="http://schemas.openxmlformats.org/spreadsheetml/2006/main" count="2807" uniqueCount="963">
  <si>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</si>
  <si>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</si>
  <si>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</si>
  <si>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</si>
  <si>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</si>
  <si>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</si>
  <si>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</si>
  <si>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</si>
  <si>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</si>
  <si>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</si>
  <si>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</si>
  <si>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</si>
  <si>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</si>
  <si>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</si>
  <si>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</si>
  <si>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</si>
  <si>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</si>
  <si>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</si>
  <si>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</si>
  <si>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</si>
  <si>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</si>
  <si>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</si>
  <si>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</si>
  <si>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</si>
  <si>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</si>
  <si>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</si>
  <si>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</si>
  <si>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</si>
  <si>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</si>
  <si>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</si>
  <si>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</si>
  <si>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</si>
  <si>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</si>
  <si>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</si>
  <si>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</si>
  <si>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</si>
  <si>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</si>
  <si>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</si>
  <si>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</si>
  <si>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</si>
  <si>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</si>
  <si>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</si>
  <si>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</si>
  <si>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</si>
  <si>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</si>
  <si>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</si>
  <si>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</si>
  <si>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</si>
  <si>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</si>
  <si>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</si>
  <si>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</si>
  <si>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</si>
  <si>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</si>
  <si>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</si>
  <si>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</si>
  <si>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</si>
  <si>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</si>
  <si>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</si>
  <si>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</si>
  <si>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</si>
  <si>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</si>
  <si>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</si>
  <si>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</si>
  <si>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</si>
  <si>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</si>
  <si>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</si>
  <si>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</si>
  <si>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</si>
  <si>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</si>
  <si>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</si>
  <si>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</si>
  <si>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</si>
  <si>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</si>
  <si>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</si>
  <si>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</si>
  <si>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</si>
  <si>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</si>
  <si>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</si>
  <si>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</si>
  <si>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</si>
  <si>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</si>
  <si>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</si>
  <si>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</si>
  <si>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</si>
  <si>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</si>
  <si>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</si>
  <si>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</si>
  <si>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</si>
  <si>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</si>
  <si>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</si>
  <si>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</si>
  <si>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</si>
  <si>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</si>
  <si>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</si>
  <si>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</si>
  <si>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</si>
  <si>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</si>
  <si>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</si>
  <si>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</si>
  <si>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</si>
  <si>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</si>
  <si>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</si>
  <si>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</si>
  <si>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</si>
  <si>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</si>
  <si>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</si>
  <si>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</si>
  <si>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</si>
  <si>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</si>
  <si>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</si>
  <si>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</si>
  <si>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</si>
  <si>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</si>
  <si>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</si>
  <si>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</si>
  <si>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</si>
  <si>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</si>
  <si>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</si>
  <si>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</si>
  <si>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</si>
  <si>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</si>
  <si>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</si>
  <si>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</si>
  <si>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</si>
  <si>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</si>
  <si>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</si>
  <si>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</si>
  <si>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</si>
  <si>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</si>
  <si>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</si>
  <si>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</si>
  <si>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</si>
  <si>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</si>
  <si>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</si>
  <si>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</si>
  <si>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</si>
  <si>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</si>
  <si>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</si>
  <si>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</si>
  <si>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</si>
  <si>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</si>
  <si>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</si>
  <si>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</si>
  <si>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</si>
  <si>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</si>
  <si>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</si>
  <si>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</si>
  <si>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</si>
  <si>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</si>
  <si>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</si>
  <si>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</si>
  <si>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</si>
  <si>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</si>
  <si>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</si>
  <si>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</si>
  <si>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</si>
  <si>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</si>
  <si>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</si>
  <si>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</si>
  <si>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</si>
  <si>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</si>
  <si>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</si>
  <si>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</si>
  <si>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</si>
  <si>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</si>
  <si>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</si>
  <si>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</si>
  <si>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</si>
  <si>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</si>
  <si>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</si>
  <si>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</si>
  <si>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</si>
  <si>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</si>
  <si>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</si>
  <si>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</si>
  <si>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</si>
  <si>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</si>
  <si>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</si>
  <si>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</si>
  <si>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</si>
  <si>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</si>
  <si>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</si>
  <si>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</si>
  <si>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</si>
  <si>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</si>
  <si>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</si>
  <si>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</si>
  <si>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</si>
  <si>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</si>
  <si>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</si>
  <si>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</si>
  <si>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</si>
  <si>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</si>
  <si>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</si>
  <si>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</si>
  <si>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</si>
  <si>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</si>
  <si>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</si>
  <si>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</si>
  <si>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</si>
  <si>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</si>
  <si>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</si>
  <si>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</si>
  <si>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</si>
  <si>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</si>
  <si>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</si>
  <si>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</si>
  <si>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</si>
  <si>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</si>
  <si>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</si>
  <si>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</si>
  <si>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</si>
  <si>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</si>
  <si>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</si>
  <si>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</si>
  <si>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</si>
  <si>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</si>
  <si>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</si>
  <si>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</si>
  <si>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</si>
  <si>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</si>
  <si>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</si>
  <si>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</si>
  <si>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</si>
  <si>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</si>
  <si>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</si>
  <si>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</si>
  <si>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</si>
  <si>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</si>
  <si>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</si>
  <si>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</si>
  <si>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</si>
  <si>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</si>
  <si>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</si>
  <si>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</si>
  <si>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</si>
  <si>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</si>
  <si>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</si>
  <si>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</si>
  <si>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</si>
  <si>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</si>
  <si>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</si>
  <si>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</si>
  <si>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</si>
  <si>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</si>
  <si>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</si>
  <si>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</si>
  <si>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</si>
  <si>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</si>
  <si>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</si>
  <si>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</si>
  <si>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</si>
  <si>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</si>
  <si>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</si>
  <si>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</si>
  <si>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</si>
  <si>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</si>
  <si>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</si>
  <si>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</si>
  <si>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</si>
  <si>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</si>
  <si>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</si>
  <si>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</si>
  <si>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</si>
  <si>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</si>
  <si>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</si>
  <si>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</si>
  <si>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</si>
  <si>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</si>
  <si>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</si>
  <si>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</si>
  <si>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</si>
  <si>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</si>
  <si>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</si>
  <si>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</si>
  <si>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</si>
  <si>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</si>
  <si>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</si>
  <si>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</si>
  <si>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</si>
  <si>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</si>
  <si>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</si>
  <si>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</si>
  <si>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</si>
  <si>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</si>
  <si>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</si>
  <si>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</si>
  <si>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</si>
  <si>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</si>
  <si>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</si>
  <si>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</si>
  <si>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</si>
  <si>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</si>
  <si>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</si>
  <si>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</si>
  <si>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</si>
  <si>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</si>
  <si>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</si>
  <si>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</si>
  <si>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</si>
  <si>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</si>
  <si>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</si>
  <si>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</si>
  <si>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</si>
  <si>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</si>
  <si>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</si>
  <si>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</si>
  <si>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</si>
  <si>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</si>
  <si>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</si>
  <si>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</si>
  <si>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</si>
  <si>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</si>
  <si>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</si>
  <si>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</si>
  <si>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</si>
  <si>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</si>
  <si>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</si>
  <si>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</si>
  <si>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</si>
  <si>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</si>
  <si>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</si>
  <si>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</si>
  <si>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</si>
  <si>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</si>
  <si>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</si>
  <si>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</si>
  <si>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</si>
  <si>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</si>
  <si>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</si>
  <si>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</si>
  <si>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</si>
  <si>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</si>
  <si>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</si>
  <si>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</si>
  <si>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</si>
  <si>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</si>
  <si>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</si>
  <si>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</si>
  <si>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</si>
  <si>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</si>
  <si>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</si>
  <si>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</si>
  <si>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</si>
  <si>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</si>
  <si>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</si>
  <si>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</si>
  <si>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</si>
  <si>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</si>
  <si>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</si>
  <si>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</si>
  <si>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</si>
  <si>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</si>
  <si>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</si>
  <si>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</si>
  <si>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</si>
  <si>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</si>
  <si>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</si>
  <si>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</si>
  <si>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</si>
  <si>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</si>
  <si>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</si>
  <si>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</si>
  <si>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</si>
  <si>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</si>
  <si>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</si>
  <si>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</si>
  <si>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</si>
  <si>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</si>
  <si>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</si>
  <si>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</si>
  <si>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</si>
  <si>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</si>
  <si>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</si>
  <si>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</si>
  <si>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</si>
  <si>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</si>
  <si>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</si>
  <si>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</si>
  <si>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</si>
  <si>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</si>
  <si>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</si>
  <si>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</si>
  <si>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</si>
  <si>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</si>
  <si>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</si>
  <si>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</si>
  <si>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</si>
  <si>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</si>
  <si>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</si>
  <si>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</si>
  <si>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</si>
  <si>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</si>
  <si>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</si>
  <si>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</si>
  <si>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</si>
  <si>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</si>
  <si>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</si>
  <si>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</si>
  <si>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</si>
  <si>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</si>
  <si>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</si>
  <si>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</si>
  <si>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</si>
  <si>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</si>
  <si>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</si>
  <si>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</si>
  <si>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</si>
  <si>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</si>
  <si>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</si>
  <si>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</si>
  <si>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</si>
  <si>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</si>
  <si>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</si>
  <si>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</si>
  <si>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</si>
  <si>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</si>
  <si>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</si>
  <si>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</si>
  <si>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</si>
  <si>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</si>
  <si>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</si>
  <si>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</si>
  <si>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</si>
  <si>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</si>
  <si>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</si>
  <si>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</si>
  <si>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</si>
  <si>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</si>
  <si>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</si>
  <si>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</si>
  <si>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</si>
  <si>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</si>
  <si>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</si>
  <si>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</si>
  <si>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</si>
  <si>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</si>
  <si>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</si>
  <si>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</si>
  <si>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</si>
  <si>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</si>
  <si>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</si>
  <si>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</si>
  <si>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</si>
  <si>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</si>
  <si>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</si>
  <si>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</si>
  <si>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</si>
  <si>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</si>
  <si>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</si>
  <si>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</si>
  <si>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</si>
  <si>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</si>
  <si>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</si>
  <si>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</si>
  <si>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</si>
  <si>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</si>
  <si>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</si>
  <si>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</si>
  <si>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</si>
  <si>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</si>
  <si>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</si>
  <si>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</si>
  <si>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</si>
  <si>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</si>
  <si>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</si>
  <si>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</si>
  <si>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</si>
  <si>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</si>
  <si>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</si>
  <si>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</si>
  <si>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</si>
  <si>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</si>
  <si>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</si>
  <si>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</si>
  <si>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</si>
  <si>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</si>
  <si>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</si>
  <si>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</si>
  <si>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</si>
  <si>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</si>
  <si>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</si>
  <si>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</si>
  <si>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</si>
  <si>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</si>
  <si>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</si>
  <si>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</si>
  <si>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</si>
  <si>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</si>
  <si>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</si>
  <si>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</si>
  <si>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</si>
  <si>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</si>
  <si>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</si>
  <si>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</si>
  <si>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</si>
  <si>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</si>
  <si>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</si>
  <si>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</si>
  <si>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</si>
  <si>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</si>
  <si>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</si>
  <si>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</si>
  <si>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</si>
  <si>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</si>
  <si>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</si>
  <si>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</si>
  <si>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</si>
  <si>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</si>
  <si>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</si>
  <si>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</si>
  <si>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</si>
  <si>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</si>
  <si>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</si>
  <si>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</si>
  <si>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</si>
  <si>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</si>
  <si>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</si>
  <si>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</si>
  <si>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</si>
  <si>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</si>
  <si>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</si>
  <si>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</si>
  <si>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</si>
  <si>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</si>
  <si>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</si>
  <si>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</si>
  <si>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</si>
  <si>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</si>
  <si>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</si>
  <si>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</si>
  <si>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</si>
  <si>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</si>
  <si>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</si>
  <si>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</si>
  <si>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</si>
  <si>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</si>
  <si>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</si>
  <si>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</si>
  <si>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</si>
  <si>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</si>
  <si>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</si>
  <si>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</si>
  <si>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</si>
  <si>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</si>
  <si>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</si>
  <si>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</si>
  <si>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</si>
  <si>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</si>
  <si>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</si>
  <si>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</si>
  <si>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</si>
  <si>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</si>
  <si>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</si>
  <si>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</si>
  <si>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</si>
  <si>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</si>
  <si>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</si>
  <si>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</si>
  <si>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</si>
  <si>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</si>
  <si>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</si>
  <si>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</si>
  <si>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</si>
  <si>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</si>
  <si>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</si>
  <si>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</si>
  <si>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</si>
  <si>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</si>
  <si>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</si>
  <si>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</si>
  <si>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</si>
  <si>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</si>
  <si>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</si>
  <si>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</si>
  <si>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</si>
  <si>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</si>
  <si>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</si>
  <si>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</si>
  <si>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</si>
  <si>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</si>
  <si>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</si>
  <si>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</si>
  <si>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</si>
  <si>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</si>
  <si>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</si>
  <si>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</si>
  <si>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</si>
  <si>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</si>
  <si>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</si>
  <si>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</si>
  <si>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</si>
  <si>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</si>
  <si>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</si>
  <si>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</si>
  <si>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</si>
  <si>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</si>
  <si>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</si>
  <si>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</si>
  <si>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</si>
  <si>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</si>
  <si>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</si>
  <si>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</si>
  <si>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</si>
  <si>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</si>
  <si>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</si>
  <si>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</si>
  <si>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</si>
  <si>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</si>
  <si>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</si>
  <si>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</si>
  <si>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</si>
  <si>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</si>
  <si>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</si>
  <si>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</si>
  <si>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</si>
  <si>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</si>
  <si>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</si>
  <si>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</si>
  <si>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</si>
  <si>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</si>
  <si>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</si>
  <si>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</si>
  <si>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</si>
  <si>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</si>
  <si>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</si>
  <si>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</si>
  <si>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</si>
  <si>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</si>
  <si>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</si>
  <si>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</si>
  <si>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</si>
  <si>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</si>
  <si>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</si>
  <si>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</si>
  <si>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</si>
  <si>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</si>
  <si>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</si>
  <si>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</si>
  <si>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</si>
  <si>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</si>
  <si>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</si>
  <si>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</si>
  <si>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</si>
  <si>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</si>
  <si>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</si>
  <si>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</si>
  <si>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</si>
  <si>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</si>
  <si>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</si>
  <si>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</si>
  <si>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</si>
  <si>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</si>
  <si>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</si>
  <si>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</si>
  <si>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</si>
  <si>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</si>
  <si>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</si>
  <si>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</si>
  <si>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</si>
  <si>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</si>
  <si>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</si>
  <si>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</si>
  <si>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</si>
  <si>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</si>
  <si>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</si>
  <si>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</si>
  <si>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</si>
  <si>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</si>
  <si>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</si>
  <si>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</si>
  <si>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</si>
  <si>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</si>
  <si>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</si>
  <si>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</si>
  <si>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</si>
  <si>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</si>
  <si>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</si>
  <si>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</si>
  <si>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</si>
  <si>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</si>
  <si>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</si>
  <si>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</si>
  <si>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</si>
  <si>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</si>
  <si>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</si>
  <si>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</si>
  <si>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</si>
  <si>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</si>
  <si>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</si>
  <si>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</si>
  <si>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</si>
  <si>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</si>
  <si>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</si>
  <si>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</si>
  <si>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</si>
  <si>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</si>
  <si>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</si>
  <si>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</si>
  <si>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</si>
  <si>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</si>
  <si>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</si>
  <si>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</si>
  <si>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</si>
  <si>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</si>
  <si>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</si>
  <si>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</si>
  <si>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</si>
  <si>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</si>
  <si>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</si>
  <si>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</si>
  <si>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</si>
  <si>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</si>
  <si>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</si>
  <si>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</si>
  <si>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</si>
  <si>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</si>
  <si>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</si>
  <si>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</si>
  <si>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</si>
  <si>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</si>
  <si>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</si>
  <si>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</si>
  <si>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</si>
  <si>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</si>
  <si>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</si>
  <si>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</si>
  <si>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</si>
  <si>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</si>
  <si>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</si>
  <si>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</si>
  <si>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</si>
  <si>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</si>
  <si>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</si>
  <si>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</si>
  <si>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</si>
  <si>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</si>
  <si>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</si>
  <si>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</si>
  <si>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</si>
  <si>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</si>
  <si>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</si>
  <si>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</si>
  <si>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</si>
  <si>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</si>
  <si>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</si>
  <si>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</si>
  <si>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</si>
  <si>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</si>
  <si>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</si>
  <si>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</si>
  <si>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</si>
  <si>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</si>
  <si>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</si>
  <si>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</si>
  <si>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</si>
  <si>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</si>
  <si>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</si>
  <si>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</si>
  <si>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</si>
  <si>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</si>
  <si>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</si>
  <si>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</si>
  <si>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</si>
  <si>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</si>
  <si>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</si>
  <si>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</si>
  <si>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</si>
  <si>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</si>
  <si>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</si>
  <si>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</si>
  <si>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</si>
  <si>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</si>
  <si>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</si>
  <si>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</si>
  <si>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</si>
  <si>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</si>
  <si>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</si>
  <si>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</si>
  <si>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</si>
  <si>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</si>
  <si>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</si>
  <si>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</si>
  <si>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</si>
  <si>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</si>
  <si>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</si>
  <si>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</si>
  <si>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</si>
  <si>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</si>
  <si>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</si>
  <si>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</si>
  <si>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</si>
  <si>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</si>
  <si>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</si>
  <si>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</si>
  <si>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</si>
  <si>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</si>
  <si>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</si>
  <si>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</si>
  <si>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</si>
  <si>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</si>
  <si>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</si>
  <si>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</si>
  <si>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</si>
  <si>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</si>
  <si>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</si>
  <si>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</si>
  <si>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</si>
  <si>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</si>
  <si>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</si>
  <si>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</si>
  <si>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</si>
  <si>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</si>
  <si>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</si>
  <si>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</si>
  <si>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</si>
  <si>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</si>
  <si>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</si>
  <si>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</si>
  <si>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</si>
  <si>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</si>
  <si>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</si>
  <si>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</si>
  <si>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</si>
  <si>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</si>
  <si>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</si>
  <si>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</si>
  <si>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</si>
  <si>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</si>
  <si>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</si>
  <si>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</si>
  <si>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</si>
  <si>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</si>
  <si>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</si>
  <si>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</si>
  <si>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</si>
  <si>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</si>
  <si>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</si>
  <si>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</si>
  <si>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</si>
  <si>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</si>
  <si>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</si>
  <si>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</si>
  <si>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</si>
  <si>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</si>
  <si>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</si>
  <si>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</si>
  <si>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</si>
  <si>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</si>
  <si>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</si>
  <si>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</si>
  <si>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</si>
  <si>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</si>
  <si>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</si>
  <si>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</si>
  <si>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</si>
  <si>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</si>
  <si>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</si>
  <si>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</si>
  <si>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</si>
  <si>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</si>
  <si>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</si>
  <si>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</si>
  <si>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</si>
  <si>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</si>
  <si>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</si>
  <si>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</si>
  <si>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</si>
  <si>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</si>
  <si>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</si>
  <si>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</si>
  <si>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</si>
  <si>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</si>
  <si>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</si>
  <si>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</si>
  <si>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</si>
  <si>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</si>
  <si>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</si>
  <si>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</si>
  <si>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</si>
  <si>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</si>
  <si>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</si>
  <si>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</si>
  <si>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</si>
  <si>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</si>
  <si>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</si>
  <si>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</si>
  <si>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</si>
  <si>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</si>
  <si>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</si>
  <si>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</si>
  <si>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</si>
  <si>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</si>
  <si>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</si>
  <si>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</si>
  <si>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</si>
  <si>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</si>
  <si>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</si>
  <si>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</si>
  <si>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</si>
  <si>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</si>
  <si>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</si>
  <si>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</si>
  <si>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</si>
  <si>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</si>
  <si>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</si>
  <si>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</si>
  <si>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</si>
  <si>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</si>
  <si>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</si>
  <si>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</si>
  <si>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</si>
  <si>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</si>
  <si>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</si>
  <si>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</si>
  <si>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</si>
  <si>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</si>
  <si>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</si>
  <si>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</si>
  <si>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</si>
  <si>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</si>
  <si>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</si>
  <si>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</si>
  <si>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</si>
  <si>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</si>
  <si>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</si>
  <si>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</si>
  <si>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</si>
  <si>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</si>
  <si>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</si>
  <si>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</si>
  <si>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</si>
  <si>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</si>
  <si>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</si>
  <si>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</si>
  <si>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</si>
  <si>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</si>
  <si>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</si>
  <si>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</si>
  <si>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</si>
  <si>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</si>
  <si>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</si>
  <si>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</si>
  <si>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</si>
  <si>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</si>
  <si>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</si>
  <si>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</si>
  <si>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</si>
  <si>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</si>
  <si>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</si>
  <si>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</si>
  <si>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</si>
  <si>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</si>
  <si>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</si>
  <si>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</si>
  <si>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</si>
  <si>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</si>
  <si>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</si>
  <si>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</si>
  <si>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</si>
  <si>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</si>
  <si>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</si>
  <si>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r>
      <t xml:space="preserve">WARN REPORT - </t>
    </r>
    <r>
      <rPr>
        <b/>
        <sz val="12"/>
        <rFont val="Calibri"/>
        <family val="2"/>
        <scheme val="minor"/>
      </rPr>
      <t>07/01/23 to 12/25/23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H698.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</si>
</sst>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698" totalsRowShown="0" headerRowDxfId="11" headerRowBorderDxfId="10" tableBorderDxfId="9" totalsRowBorderDxfId="8">
  <autoFilter ref="A2:H698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10" sqref="A10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348</v>
      </c>
    </row>
    <row r="2" spans="1:1" ht="21" x14ac:dyDescent="0.35">
      <c r="A2" s="8" t="s">
        <v>155</v>
      </c>
    </row>
    <row r="3" spans="1:1" x14ac:dyDescent="0.25">
      <c r="A3" s="9" t="s">
        <v>153</v>
      </c>
    </row>
    <row r="4" spans="1:1" x14ac:dyDescent="0.25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A20" sqref="A20"/>
    </sheetView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347</v>
      </c>
    </row>
    <row r="2" spans="1:2" x14ac:dyDescent="0.25">
      <c r="A2" s="3" t="s">
        <v>28</v>
      </c>
      <c r="B2" s="4" t="s">
        <v>27</v>
      </c>
    </row>
    <row r="3" spans="1:2" x14ac:dyDescent="0.25">
      <c r="A3" s="2" t="s">
        <v>152</v>
      </c>
      <c r="B3" s="5">
        <f>SUM('Detailed WARN Report '!G:G)</f>
        <v>36684</v>
      </c>
    </row>
    <row r="4" spans="1:2" x14ac:dyDescent="0.25">
      <c r="A4" s="2" t="s">
        <v>21</v>
      </c>
      <c r="B4" s="5">
        <f>COUNTIF('Detailed WARN Report '!F:F,"Layoff Permanent")</f>
        <v>469</v>
      </c>
    </row>
    <row r="5" spans="1:2" x14ac:dyDescent="0.25">
      <c r="A5" s="2" t="s">
        <v>22</v>
      </c>
      <c r="B5" s="5">
        <f>COUNTIF('Detailed WARN Report '!F:F,"Layoff Temporary")</f>
        <v>19</v>
      </c>
    </row>
    <row r="6" spans="1:2" x14ac:dyDescent="0.25">
      <c r="A6" s="2" t="s">
        <v>23</v>
      </c>
      <c r="B6" s="5">
        <v>1</v>
      </c>
    </row>
    <row r="7" spans="1:2" x14ac:dyDescent="0.25">
      <c r="A7" s="2" t="s">
        <v>24</v>
      </c>
      <c r="B7" s="5">
        <f>COUNTIF('Detailed WARN Report '!F:F,"Closure Permanent")</f>
        <v>196</v>
      </c>
    </row>
    <row r="8" spans="1:2" x14ac:dyDescent="0.25">
      <c r="A8" s="2" t="s">
        <v>25</v>
      </c>
      <c r="B8" s="5">
        <f>COUNTIF('Detailed WARN Report '!F:F,"Closure Temporary")</f>
        <v>11</v>
      </c>
    </row>
    <row r="9" spans="1:2" x14ac:dyDescent="0.25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698"/>
  <sheetViews>
    <sheetView tabSelected="1" zoomScaleNormal="100" workbookViewId="0">
      <selection activeCell="A2" sqref="A2"/>
    </sheetView>
  </sheetViews>
  <sheetFormatPr defaultColWidth="26" defaultRowHeight="15" x14ac:dyDescent="0.25"/>
  <cols>
    <col min="1" max="1" width="25.85546875" bestFit="1" customWidth="1"/>
    <col min="2" max="4" width="8.7109375" bestFit="1" customWidth="1"/>
    <col min="5" max="5" width="63.28515625" style="1" customWidth="1"/>
    <col min="6" max="6" width="21.5703125" bestFit="1" customWidth="1"/>
    <col min="7" max="7" width="9.85546875" bestFit="1" customWidth="1"/>
    <col min="8" max="8" width="63" customWidth="1"/>
  </cols>
  <sheetData>
    <row r="1" spans="1:8" ht="117" x14ac:dyDescent="0.25">
      <c r="A1" s="7" t="s">
        <v>962</v>
      </c>
      <c r="D1" s="6"/>
      <c r="E1" s="6"/>
      <c r="F1" s="6"/>
      <c r="G1" s="6"/>
      <c r="H1" s="6"/>
    </row>
    <row r="2" spans="1:8" ht="29.25" customHeight="1" x14ac:dyDescent="0.25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25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25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25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25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25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25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25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25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25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25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25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25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25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25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25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25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25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25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25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25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25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25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25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25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25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25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25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25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25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25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25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25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25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25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25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25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25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25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25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25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25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25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25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25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25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25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25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25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25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25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25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25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25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25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25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25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25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25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25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25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25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25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25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25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25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25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25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25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25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25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25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25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25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25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25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25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25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25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25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25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25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25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25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25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25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25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25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25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25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25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25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25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25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25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25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25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25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25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25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25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25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25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25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25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25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25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25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25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25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25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25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25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25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25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25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25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25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25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25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25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25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25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25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25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25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25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25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25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25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25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25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25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25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25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25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25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25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25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25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25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25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25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25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25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25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25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25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25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25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25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25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25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25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25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25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25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25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25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25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25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25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25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25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25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25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25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25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25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25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25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25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25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25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25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25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25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25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25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25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25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25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25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25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25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25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25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25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25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25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25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25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25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25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25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25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25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25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25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25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25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25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25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25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25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25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25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25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25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25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25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25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25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25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25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25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25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25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25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25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25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25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25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25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25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25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25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25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25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25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25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25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25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25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25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25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25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25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25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25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25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25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25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25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25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25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25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25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25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25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25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25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25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25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25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25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25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25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25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25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25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25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25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25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25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25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25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25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25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25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25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25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25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25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25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25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25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25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25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25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25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25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25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25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25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25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25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25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25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25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25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25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25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25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25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25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25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25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25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25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25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25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25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25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25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25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25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25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25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25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25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25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25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25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25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25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25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25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25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25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25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25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25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25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25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25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25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25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25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25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25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25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25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25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25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25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25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25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25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25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25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25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25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25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25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25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25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25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25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25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25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25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25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25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25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25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25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25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25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25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25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25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25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25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25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25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25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25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25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25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25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25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25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25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25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25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25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25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25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25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25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25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25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25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25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25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25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25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25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25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25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25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25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25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25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25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25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25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25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25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25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25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25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25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25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25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25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25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25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25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25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25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25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25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25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25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25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25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25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25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25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25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25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25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25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25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25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25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25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25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25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25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25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25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25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25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25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25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25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25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25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25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25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25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25">
      <c r="A447" s="12" t="s">
        <v>5</v>
      </c>
      <c r="B447" s="13">
        <v>45195</v>
      </c>
      <c r="C447" s="13">
        <v>45225</v>
      </c>
      <c r="D447" s="13">
        <v>45280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25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25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25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25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25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25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25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25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25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25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25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25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25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25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25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25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25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25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25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25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25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25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25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25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25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25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25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25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25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25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25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25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25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25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25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25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25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25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25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25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25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25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25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25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25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25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25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25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25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25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25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25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25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25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25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25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25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25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25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25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25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25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25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25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25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25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25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25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25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25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25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25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25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25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25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25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25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25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25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25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25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25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25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25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25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25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25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25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25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25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25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25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25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25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25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25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25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25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25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25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25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25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25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25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25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25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25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25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25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25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25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25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25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25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25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25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25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25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25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25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25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25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25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25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25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25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25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25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25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25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25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25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25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25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25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25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25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25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25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25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25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25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25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25">
      <c r="A591" s="12" t="s">
        <v>86</v>
      </c>
      <c r="B591" s="13">
        <v>45232</v>
      </c>
      <c r="C591" s="13">
        <v>45265</v>
      </c>
      <c r="D591" s="13">
        <v>45408</v>
      </c>
      <c r="E591" s="16" t="s">
        <v>846</v>
      </c>
      <c r="F591" s="16" t="s">
        <v>15</v>
      </c>
      <c r="G591" s="17">
        <v>4</v>
      </c>
      <c r="H591" s="18" t="s">
        <v>847</v>
      </c>
    </row>
    <row r="592" spans="1:8" x14ac:dyDescent="0.25">
      <c r="A592" s="14" t="s">
        <v>66</v>
      </c>
      <c r="B592" s="15">
        <v>45229</v>
      </c>
      <c r="C592" s="15">
        <v>45265</v>
      </c>
      <c r="D592" s="15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25">
      <c r="A593" s="12" t="s">
        <v>6</v>
      </c>
      <c r="B593" s="13">
        <v>45231</v>
      </c>
      <c r="C593" s="13">
        <v>45265</v>
      </c>
      <c r="D593" s="13">
        <v>45293</v>
      </c>
      <c r="E593" s="16" t="s">
        <v>850</v>
      </c>
      <c r="F593" s="16" t="s">
        <v>16</v>
      </c>
      <c r="G593" s="17">
        <v>228</v>
      </c>
      <c r="H593" s="18" t="s">
        <v>851</v>
      </c>
    </row>
    <row r="594" spans="1:8" x14ac:dyDescent="0.25">
      <c r="A594" s="14" t="s">
        <v>52</v>
      </c>
      <c r="B594" s="15">
        <v>45232</v>
      </c>
      <c r="C594" s="15">
        <v>45265</v>
      </c>
      <c r="D594" s="15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25">
      <c r="A595" s="12" t="s">
        <v>7</v>
      </c>
      <c r="B595" s="13">
        <v>45231</v>
      </c>
      <c r="C595" s="13">
        <v>45265</v>
      </c>
      <c r="D595" s="13">
        <v>45293</v>
      </c>
      <c r="E595" s="16" t="s">
        <v>850</v>
      </c>
      <c r="F595" s="16" t="s">
        <v>16</v>
      </c>
      <c r="G595" s="17">
        <v>11</v>
      </c>
      <c r="H595" s="18" t="s">
        <v>854</v>
      </c>
    </row>
    <row r="596" spans="1:8" x14ac:dyDescent="0.25">
      <c r="A596" s="14" t="s">
        <v>5</v>
      </c>
      <c r="B596" s="15">
        <v>45232</v>
      </c>
      <c r="C596" s="15">
        <v>45265</v>
      </c>
      <c r="D596" s="15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25">
      <c r="A597" s="12" t="s">
        <v>63</v>
      </c>
      <c r="B597" s="13">
        <v>45231</v>
      </c>
      <c r="C597" s="13">
        <v>45266</v>
      </c>
      <c r="D597" s="13">
        <v>45291</v>
      </c>
      <c r="E597" s="16" t="s">
        <v>856</v>
      </c>
      <c r="F597" s="16" t="s">
        <v>16</v>
      </c>
      <c r="G597" s="17">
        <v>90</v>
      </c>
      <c r="H597" s="18" t="s">
        <v>857</v>
      </c>
    </row>
    <row r="598" spans="1:8" x14ac:dyDescent="0.25">
      <c r="A598" s="14" t="s">
        <v>63</v>
      </c>
      <c r="B598" s="15">
        <v>45231</v>
      </c>
      <c r="C598" s="15">
        <v>45266</v>
      </c>
      <c r="D598" s="15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25">
      <c r="A599" s="12" t="s">
        <v>63</v>
      </c>
      <c r="B599" s="13">
        <v>45231</v>
      </c>
      <c r="C599" s="13">
        <v>45266</v>
      </c>
      <c r="D599" s="13">
        <v>45293</v>
      </c>
      <c r="E599" s="16" t="s">
        <v>858</v>
      </c>
      <c r="F599" s="16" t="s">
        <v>16</v>
      </c>
      <c r="G599" s="17">
        <v>37</v>
      </c>
      <c r="H599" s="18" t="s">
        <v>860</v>
      </c>
    </row>
    <row r="600" spans="1:8" x14ac:dyDescent="0.25">
      <c r="A600" s="14" t="s">
        <v>66</v>
      </c>
      <c r="B600" s="15">
        <v>45236</v>
      </c>
      <c r="C600" s="15">
        <v>45266</v>
      </c>
      <c r="D600" s="15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25">
      <c r="A601" s="12" t="s">
        <v>6</v>
      </c>
      <c r="B601" s="13">
        <v>45231</v>
      </c>
      <c r="C601" s="13">
        <v>45266</v>
      </c>
      <c r="D601" s="13">
        <v>45291</v>
      </c>
      <c r="E601" s="16" t="s">
        <v>823</v>
      </c>
      <c r="F601" s="16" t="s">
        <v>15</v>
      </c>
      <c r="G601" s="17">
        <v>6</v>
      </c>
      <c r="H601" s="18" t="s">
        <v>862</v>
      </c>
    </row>
    <row r="602" spans="1:8" x14ac:dyDescent="0.25">
      <c r="A602" s="14" t="s">
        <v>52</v>
      </c>
      <c r="B602" s="15">
        <v>45230</v>
      </c>
      <c r="C602" s="15">
        <v>45266</v>
      </c>
      <c r="D602" s="15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25">
      <c r="A603" s="12" t="s">
        <v>5</v>
      </c>
      <c r="B603" s="13">
        <v>45231</v>
      </c>
      <c r="C603" s="13">
        <v>45267</v>
      </c>
      <c r="D603" s="13">
        <v>45231</v>
      </c>
      <c r="E603" s="16" t="s">
        <v>865</v>
      </c>
      <c r="F603" s="16" t="s">
        <v>16</v>
      </c>
      <c r="G603" s="17">
        <v>7</v>
      </c>
      <c r="H603" s="18" t="s">
        <v>866</v>
      </c>
    </row>
    <row r="604" spans="1:8" x14ac:dyDescent="0.25">
      <c r="A604" s="14" t="s">
        <v>5</v>
      </c>
      <c r="B604" s="15">
        <v>45231</v>
      </c>
      <c r="C604" s="15">
        <v>45267</v>
      </c>
      <c r="D604" s="15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25">
      <c r="A605" s="12" t="s">
        <v>5</v>
      </c>
      <c r="B605" s="13">
        <v>45232</v>
      </c>
      <c r="C605" s="13">
        <v>45267</v>
      </c>
      <c r="D605" s="13">
        <v>45338</v>
      </c>
      <c r="E605" s="16" t="s">
        <v>869</v>
      </c>
      <c r="F605" s="16" t="s">
        <v>15</v>
      </c>
      <c r="G605" s="17">
        <v>74</v>
      </c>
      <c r="H605" s="18" t="s">
        <v>870</v>
      </c>
    </row>
    <row r="606" spans="1:8" x14ac:dyDescent="0.25">
      <c r="A606" s="14" t="s">
        <v>7</v>
      </c>
      <c r="B606" s="15">
        <v>45237</v>
      </c>
      <c r="C606" s="15">
        <v>45267</v>
      </c>
      <c r="D606" s="15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25">
      <c r="A607" s="12" t="s">
        <v>52</v>
      </c>
      <c r="B607" s="13">
        <v>45237</v>
      </c>
      <c r="C607" s="13">
        <v>45267</v>
      </c>
      <c r="D607" s="13">
        <v>45239</v>
      </c>
      <c r="E607" s="16" t="s">
        <v>873</v>
      </c>
      <c r="F607" s="16" t="s">
        <v>16</v>
      </c>
      <c r="G607" s="17">
        <v>99</v>
      </c>
      <c r="H607" s="18" t="s">
        <v>874</v>
      </c>
    </row>
    <row r="608" spans="1:8" x14ac:dyDescent="0.25">
      <c r="A608" s="14" t="s">
        <v>52</v>
      </c>
      <c r="B608" s="15">
        <v>45237</v>
      </c>
      <c r="C608" s="15">
        <v>45267</v>
      </c>
      <c r="D608" s="15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25">
      <c r="A609" s="12" t="s">
        <v>52</v>
      </c>
      <c r="B609" s="13">
        <v>45237</v>
      </c>
      <c r="C609" s="13">
        <v>45267</v>
      </c>
      <c r="D609" s="13">
        <v>45298</v>
      </c>
      <c r="E609" s="16" t="s">
        <v>875</v>
      </c>
      <c r="F609" s="16" t="s">
        <v>16</v>
      </c>
      <c r="G609" s="17">
        <v>73</v>
      </c>
      <c r="H609" s="18" t="s">
        <v>876</v>
      </c>
    </row>
    <row r="610" spans="1:8" x14ac:dyDescent="0.25">
      <c r="A610" s="14" t="s">
        <v>52</v>
      </c>
      <c r="B610" s="15">
        <v>45237</v>
      </c>
      <c r="C610" s="15">
        <v>45267</v>
      </c>
      <c r="D610" s="15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25">
      <c r="A611" s="12" t="s">
        <v>52</v>
      </c>
      <c r="B611" s="13">
        <v>45237</v>
      </c>
      <c r="C611" s="13">
        <v>45267</v>
      </c>
      <c r="D611" s="13">
        <v>45323</v>
      </c>
      <c r="E611" s="16" t="s">
        <v>875</v>
      </c>
      <c r="F611" s="16" t="s">
        <v>16</v>
      </c>
      <c r="G611" s="17">
        <v>3</v>
      </c>
      <c r="H611" s="18" t="s">
        <v>876</v>
      </c>
    </row>
    <row r="612" spans="1:8" x14ac:dyDescent="0.25">
      <c r="A612" s="14" t="s">
        <v>52</v>
      </c>
      <c r="B612" s="15">
        <v>45237</v>
      </c>
      <c r="C612" s="15">
        <v>45267</v>
      </c>
      <c r="D612" s="15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25">
      <c r="A613" s="12" t="s">
        <v>52</v>
      </c>
      <c r="B613" s="13">
        <v>45237</v>
      </c>
      <c r="C613" s="13">
        <v>45267</v>
      </c>
      <c r="D613" s="13">
        <v>45382</v>
      </c>
      <c r="E613" s="16" t="s">
        <v>875</v>
      </c>
      <c r="F613" s="16" t="s">
        <v>16</v>
      </c>
      <c r="G613" s="17">
        <v>1</v>
      </c>
      <c r="H613" s="18" t="s">
        <v>876</v>
      </c>
    </row>
    <row r="614" spans="1:8" x14ac:dyDescent="0.25">
      <c r="A614" s="14" t="s">
        <v>52</v>
      </c>
      <c r="B614" s="15">
        <v>45237</v>
      </c>
      <c r="C614" s="15">
        <v>45267</v>
      </c>
      <c r="D614" s="15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25">
      <c r="A615" s="12" t="s">
        <v>52</v>
      </c>
      <c r="B615" s="13">
        <v>45237</v>
      </c>
      <c r="C615" s="13">
        <v>45267</v>
      </c>
      <c r="D615" s="13">
        <v>45260</v>
      </c>
      <c r="E615" s="16" t="s">
        <v>875</v>
      </c>
      <c r="F615" s="16" t="s">
        <v>16</v>
      </c>
      <c r="G615" s="17">
        <v>1</v>
      </c>
      <c r="H615" s="18" t="s">
        <v>876</v>
      </c>
    </row>
    <row r="616" spans="1:8" x14ac:dyDescent="0.25">
      <c r="A616" s="14" t="s">
        <v>52</v>
      </c>
      <c r="B616" s="15">
        <v>45237</v>
      </c>
      <c r="C616" s="15">
        <v>45267</v>
      </c>
      <c r="D616" s="15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25">
      <c r="A617" s="12" t="s">
        <v>52</v>
      </c>
      <c r="B617" s="13">
        <v>45237</v>
      </c>
      <c r="C617" s="13">
        <v>45267</v>
      </c>
      <c r="D617" s="13">
        <v>45443</v>
      </c>
      <c r="E617" s="16" t="s">
        <v>875</v>
      </c>
      <c r="F617" s="16" t="s">
        <v>16</v>
      </c>
      <c r="G617" s="17">
        <v>2</v>
      </c>
      <c r="H617" s="18" t="s">
        <v>876</v>
      </c>
    </row>
    <row r="618" spans="1:8" x14ac:dyDescent="0.25">
      <c r="A618" s="14" t="s">
        <v>52</v>
      </c>
      <c r="B618" s="15">
        <v>45237</v>
      </c>
      <c r="C618" s="15">
        <v>45267</v>
      </c>
      <c r="D618" s="15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25">
      <c r="A619" s="12" t="s">
        <v>52</v>
      </c>
      <c r="B619" s="13">
        <v>45236</v>
      </c>
      <c r="C619" s="13">
        <v>45267</v>
      </c>
      <c r="D619" s="13">
        <v>45296</v>
      </c>
      <c r="E619" s="16" t="s">
        <v>877</v>
      </c>
      <c r="F619" s="16" t="s">
        <v>16</v>
      </c>
      <c r="G619" s="17">
        <v>155</v>
      </c>
      <c r="H619" s="18" t="s">
        <v>878</v>
      </c>
    </row>
    <row r="620" spans="1:8" x14ac:dyDescent="0.25">
      <c r="A620" s="14" t="s">
        <v>14</v>
      </c>
      <c r="B620" s="15">
        <v>45233</v>
      </c>
      <c r="C620" s="15">
        <v>45271</v>
      </c>
      <c r="D620" s="15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25">
      <c r="A621" s="12" t="s">
        <v>52</v>
      </c>
      <c r="B621" s="13">
        <v>45232</v>
      </c>
      <c r="C621" s="13">
        <v>45271</v>
      </c>
      <c r="D621" s="13">
        <v>45292</v>
      </c>
      <c r="E621" s="16" t="s">
        <v>881</v>
      </c>
      <c r="F621" s="16" t="s">
        <v>15</v>
      </c>
      <c r="G621" s="17">
        <v>71</v>
      </c>
      <c r="H621" s="18" t="s">
        <v>882</v>
      </c>
    </row>
    <row r="622" spans="1:8" x14ac:dyDescent="0.25">
      <c r="A622" s="14" t="s">
        <v>7</v>
      </c>
      <c r="B622" s="15">
        <v>45233</v>
      </c>
      <c r="C622" s="15">
        <v>45271</v>
      </c>
      <c r="D622" s="15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25">
      <c r="A623" s="12" t="s">
        <v>7</v>
      </c>
      <c r="B623" s="13">
        <v>45233</v>
      </c>
      <c r="C623" s="13">
        <v>45271</v>
      </c>
      <c r="D623" s="13">
        <v>45303</v>
      </c>
      <c r="E623" s="16" t="s">
        <v>883</v>
      </c>
      <c r="F623" s="16" t="s">
        <v>16</v>
      </c>
      <c r="G623" s="17">
        <v>1</v>
      </c>
      <c r="H623" s="18" t="s">
        <v>885</v>
      </c>
    </row>
    <row r="624" spans="1:8" x14ac:dyDescent="0.25">
      <c r="A624" s="14" t="s">
        <v>7</v>
      </c>
      <c r="B624" s="15">
        <v>45233</v>
      </c>
      <c r="C624" s="15">
        <v>45271</v>
      </c>
      <c r="D624" s="15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25">
      <c r="A625" s="12" t="s">
        <v>5</v>
      </c>
      <c r="B625" s="13">
        <v>45236</v>
      </c>
      <c r="C625" s="13">
        <v>45272</v>
      </c>
      <c r="D625" s="13">
        <v>45295</v>
      </c>
      <c r="E625" s="16" t="s">
        <v>464</v>
      </c>
      <c r="F625" s="16" t="s">
        <v>16</v>
      </c>
      <c r="G625" s="17">
        <v>26</v>
      </c>
      <c r="H625" s="18" t="s">
        <v>466</v>
      </c>
    </row>
    <row r="626" spans="1:8" x14ac:dyDescent="0.25">
      <c r="A626" s="14" t="s">
        <v>5</v>
      </c>
      <c r="B626" s="15">
        <v>45236</v>
      </c>
      <c r="C626" s="15">
        <v>45272</v>
      </c>
      <c r="D626" s="15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25">
      <c r="A627" s="12" t="s">
        <v>5</v>
      </c>
      <c r="B627" s="13">
        <v>45236</v>
      </c>
      <c r="C627" s="13">
        <v>45272</v>
      </c>
      <c r="D627" s="13">
        <v>45295</v>
      </c>
      <c r="E627" s="16" t="s">
        <v>887</v>
      </c>
      <c r="F627" s="16" t="s">
        <v>16</v>
      </c>
      <c r="G627" s="17">
        <v>2</v>
      </c>
      <c r="H627" s="18" t="s">
        <v>888</v>
      </c>
    </row>
    <row r="628" spans="1:8" x14ac:dyDescent="0.25">
      <c r="A628" s="14" t="s">
        <v>5</v>
      </c>
      <c r="B628" s="15">
        <v>45236</v>
      </c>
      <c r="C628" s="15">
        <v>45272</v>
      </c>
      <c r="D628" s="15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25">
      <c r="A629" s="12" t="s">
        <v>5</v>
      </c>
      <c r="B629" s="13">
        <v>45236</v>
      </c>
      <c r="C629" s="13">
        <v>45272</v>
      </c>
      <c r="D629" s="13">
        <v>45295</v>
      </c>
      <c r="E629" s="16" t="s">
        <v>464</v>
      </c>
      <c r="F629" s="16" t="s">
        <v>16</v>
      </c>
      <c r="G629" s="17">
        <v>1</v>
      </c>
      <c r="H629" s="18" t="s">
        <v>890</v>
      </c>
    </row>
    <row r="630" spans="1:8" x14ac:dyDescent="0.25">
      <c r="A630" s="14" t="s">
        <v>63</v>
      </c>
      <c r="B630" s="15">
        <v>45236</v>
      </c>
      <c r="C630" s="15">
        <v>45272</v>
      </c>
      <c r="D630" s="15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25">
      <c r="A631" s="12" t="s">
        <v>86</v>
      </c>
      <c r="B631" s="13">
        <v>45236</v>
      </c>
      <c r="C631" s="13">
        <v>45272</v>
      </c>
      <c r="D631" s="13">
        <v>45295</v>
      </c>
      <c r="E631" s="16" t="s">
        <v>892</v>
      </c>
      <c r="F631" s="16" t="s">
        <v>16</v>
      </c>
      <c r="G631" s="17">
        <v>4</v>
      </c>
      <c r="H631" s="18" t="s">
        <v>893</v>
      </c>
    </row>
    <row r="632" spans="1:8" x14ac:dyDescent="0.25">
      <c r="A632" s="14" t="s">
        <v>86</v>
      </c>
      <c r="B632" s="15">
        <v>45236</v>
      </c>
      <c r="C632" s="15">
        <v>45272</v>
      </c>
      <c r="D632" s="15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25">
      <c r="A633" s="12" t="s">
        <v>86</v>
      </c>
      <c r="B633" s="13">
        <v>45236</v>
      </c>
      <c r="C633" s="13">
        <v>45272</v>
      </c>
      <c r="D633" s="13">
        <v>45295</v>
      </c>
      <c r="E633" s="16" t="s">
        <v>894</v>
      </c>
      <c r="F633" s="16" t="s">
        <v>16</v>
      </c>
      <c r="G633" s="17">
        <v>2</v>
      </c>
      <c r="H633" s="18" t="s">
        <v>895</v>
      </c>
    </row>
    <row r="634" spans="1:8" x14ac:dyDescent="0.25">
      <c r="A634" s="14" t="s">
        <v>11</v>
      </c>
      <c r="B634" s="15">
        <v>45236</v>
      </c>
      <c r="C634" s="15">
        <v>45272</v>
      </c>
      <c r="D634" s="15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25">
      <c r="A635" s="12" t="s">
        <v>9</v>
      </c>
      <c r="B635" s="13">
        <v>45233</v>
      </c>
      <c r="C635" s="13">
        <v>45272</v>
      </c>
      <c r="D635" s="13">
        <v>45291</v>
      </c>
      <c r="E635" s="16" t="s">
        <v>51</v>
      </c>
      <c r="F635" s="16" t="s">
        <v>16</v>
      </c>
      <c r="G635" s="17">
        <v>235</v>
      </c>
      <c r="H635" s="18" t="s">
        <v>230</v>
      </c>
    </row>
    <row r="636" spans="1:8" x14ac:dyDescent="0.25">
      <c r="A636" s="14" t="s">
        <v>5</v>
      </c>
      <c r="B636" s="15">
        <v>45236</v>
      </c>
      <c r="C636" s="15">
        <v>45272</v>
      </c>
      <c r="D636" s="15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25">
      <c r="A637" s="12" t="s">
        <v>5</v>
      </c>
      <c r="B637" s="13">
        <v>45236</v>
      </c>
      <c r="C637" s="13">
        <v>45272</v>
      </c>
      <c r="D637" s="13">
        <v>45295</v>
      </c>
      <c r="E637" s="16" t="s">
        <v>464</v>
      </c>
      <c r="F637" s="16" t="s">
        <v>16</v>
      </c>
      <c r="G637" s="17">
        <v>20</v>
      </c>
      <c r="H637" s="18" t="s">
        <v>898</v>
      </c>
    </row>
    <row r="638" spans="1:8" x14ac:dyDescent="0.25">
      <c r="A638" s="14" t="s">
        <v>86</v>
      </c>
      <c r="B638" s="15">
        <v>45236</v>
      </c>
      <c r="C638" s="15">
        <v>45273</v>
      </c>
      <c r="D638" s="15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25">
      <c r="A639" s="12" t="s">
        <v>14</v>
      </c>
      <c r="B639" s="13">
        <v>45236</v>
      </c>
      <c r="C639" s="13">
        <v>45273</v>
      </c>
      <c r="D639" s="13">
        <v>45295</v>
      </c>
      <c r="E639" s="16" t="s">
        <v>464</v>
      </c>
      <c r="F639" s="16" t="s">
        <v>17</v>
      </c>
      <c r="G639" s="17">
        <v>1</v>
      </c>
      <c r="H639" s="18" t="s">
        <v>899</v>
      </c>
    </row>
    <row r="640" spans="1:8" x14ac:dyDescent="0.25">
      <c r="A640" s="14" t="s">
        <v>12</v>
      </c>
      <c r="B640" s="15">
        <v>45243</v>
      </c>
      <c r="C640" s="15">
        <v>45273</v>
      </c>
      <c r="D640" s="15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25">
      <c r="A641" s="12" t="s">
        <v>5</v>
      </c>
      <c r="B641" s="13">
        <v>45236</v>
      </c>
      <c r="C641" s="13">
        <v>45273</v>
      </c>
      <c r="D641" s="13">
        <v>45310</v>
      </c>
      <c r="E641" s="16" t="s">
        <v>902</v>
      </c>
      <c r="F641" s="16" t="s">
        <v>15</v>
      </c>
      <c r="G641" s="17">
        <v>26</v>
      </c>
      <c r="H641" s="18" t="s">
        <v>38</v>
      </c>
    </row>
    <row r="642" spans="1:8" x14ac:dyDescent="0.25">
      <c r="A642" s="14" t="s">
        <v>76</v>
      </c>
      <c r="B642" s="15">
        <v>45236</v>
      </c>
      <c r="C642" s="15">
        <v>45273</v>
      </c>
      <c r="D642" s="15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25">
      <c r="A643" s="12" t="s">
        <v>76</v>
      </c>
      <c r="B643" s="13">
        <v>45236</v>
      </c>
      <c r="C643" s="13">
        <v>45273</v>
      </c>
      <c r="D643" s="13">
        <v>45295</v>
      </c>
      <c r="E643" s="16" t="s">
        <v>903</v>
      </c>
      <c r="F643" s="16" t="s">
        <v>16</v>
      </c>
      <c r="G643" s="17">
        <v>1</v>
      </c>
      <c r="H643" s="18" t="s">
        <v>904</v>
      </c>
    </row>
    <row r="644" spans="1:8" x14ac:dyDescent="0.25">
      <c r="A644" s="14" t="s">
        <v>76</v>
      </c>
      <c r="B644" s="15">
        <v>45238</v>
      </c>
      <c r="C644" s="15">
        <v>45273</v>
      </c>
      <c r="D644" s="15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25">
      <c r="A645" s="12" t="s">
        <v>6</v>
      </c>
      <c r="B645" s="13">
        <v>45236</v>
      </c>
      <c r="C645" s="13">
        <v>45273</v>
      </c>
      <c r="D645" s="13">
        <v>45295</v>
      </c>
      <c r="E645" s="16" t="s">
        <v>907</v>
      </c>
      <c r="F645" s="16" t="s">
        <v>16</v>
      </c>
      <c r="G645" s="17">
        <v>8</v>
      </c>
      <c r="H645" s="18" t="s">
        <v>908</v>
      </c>
    </row>
    <row r="646" spans="1:8" x14ac:dyDescent="0.25">
      <c r="A646" s="14" t="s">
        <v>6</v>
      </c>
      <c r="B646" s="15">
        <v>45236</v>
      </c>
      <c r="C646" s="15">
        <v>45273</v>
      </c>
      <c r="D646" s="15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25">
      <c r="A647" s="12" t="s">
        <v>6</v>
      </c>
      <c r="B647" s="13">
        <v>45236</v>
      </c>
      <c r="C647" s="13">
        <v>45273</v>
      </c>
      <c r="D647" s="13">
        <v>45295</v>
      </c>
      <c r="E647" s="16" t="s">
        <v>911</v>
      </c>
      <c r="F647" s="16" t="s">
        <v>16</v>
      </c>
      <c r="G647" s="17">
        <v>5</v>
      </c>
      <c r="H647" s="18" t="s">
        <v>486</v>
      </c>
    </row>
    <row r="648" spans="1:8" x14ac:dyDescent="0.25">
      <c r="A648" s="14" t="s">
        <v>6</v>
      </c>
      <c r="B648" s="15">
        <v>45238</v>
      </c>
      <c r="C648" s="15">
        <v>45273</v>
      </c>
      <c r="D648" s="15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25">
      <c r="A649" s="12" t="s">
        <v>6</v>
      </c>
      <c r="B649" s="13">
        <v>45238</v>
      </c>
      <c r="C649" s="13">
        <v>45273</v>
      </c>
      <c r="D649" s="13">
        <v>45328</v>
      </c>
      <c r="E649" s="16" t="s">
        <v>912</v>
      </c>
      <c r="F649" s="16" t="s">
        <v>16</v>
      </c>
      <c r="G649" s="17">
        <v>7</v>
      </c>
      <c r="H649" s="18" t="s">
        <v>914</v>
      </c>
    </row>
    <row r="650" spans="1:8" x14ac:dyDescent="0.25">
      <c r="A650" s="14" t="s">
        <v>52</v>
      </c>
      <c r="B650" s="15">
        <v>45231</v>
      </c>
      <c r="C650" s="15">
        <v>45273</v>
      </c>
      <c r="D650" s="15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25">
      <c r="A651" s="12" t="s">
        <v>7</v>
      </c>
      <c r="B651" s="13">
        <v>45231</v>
      </c>
      <c r="C651" s="13">
        <v>45273</v>
      </c>
      <c r="D651" s="13">
        <v>45278</v>
      </c>
      <c r="E651" s="16" t="s">
        <v>915</v>
      </c>
      <c r="F651" s="16" t="s">
        <v>16</v>
      </c>
      <c r="G651" s="17">
        <v>83</v>
      </c>
      <c r="H651" s="18" t="s">
        <v>917</v>
      </c>
    </row>
    <row r="652" spans="1:8" x14ac:dyDescent="0.25">
      <c r="A652" s="14" t="s">
        <v>7</v>
      </c>
      <c r="B652" s="15">
        <v>45239</v>
      </c>
      <c r="C652" s="15">
        <v>45273</v>
      </c>
      <c r="D652" s="15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25">
      <c r="A653" s="12" t="s">
        <v>789</v>
      </c>
      <c r="B653" s="13">
        <v>45243</v>
      </c>
      <c r="C653" s="13">
        <v>45273</v>
      </c>
      <c r="D653" s="13">
        <v>45303</v>
      </c>
      <c r="E653" s="16" t="s">
        <v>919</v>
      </c>
      <c r="F653" s="16" t="s">
        <v>15</v>
      </c>
      <c r="G653" s="17">
        <v>7</v>
      </c>
      <c r="H653" s="18" t="s">
        <v>920</v>
      </c>
    </row>
    <row r="654" spans="1:8" x14ac:dyDescent="0.25">
      <c r="A654" s="14" t="s">
        <v>282</v>
      </c>
      <c r="B654" s="15">
        <v>45231</v>
      </c>
      <c r="C654" s="15">
        <v>45273</v>
      </c>
      <c r="D654" s="15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25">
      <c r="A655" s="12" t="s">
        <v>282</v>
      </c>
      <c r="B655" s="13">
        <v>45231</v>
      </c>
      <c r="C655" s="13">
        <v>45273</v>
      </c>
      <c r="D655" s="13">
        <v>45291</v>
      </c>
      <c r="E655" s="16" t="s">
        <v>921</v>
      </c>
      <c r="F655" s="16" t="s">
        <v>16</v>
      </c>
      <c r="G655" s="17">
        <v>1</v>
      </c>
      <c r="H655" s="18" t="s">
        <v>923</v>
      </c>
    </row>
    <row r="656" spans="1:8" x14ac:dyDescent="0.25">
      <c r="A656" s="14" t="s">
        <v>5</v>
      </c>
      <c r="B656" s="15">
        <v>45232</v>
      </c>
      <c r="C656" s="15">
        <v>45274</v>
      </c>
      <c r="D656" s="15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25">
      <c r="A657" s="12" t="s">
        <v>5</v>
      </c>
      <c r="B657" s="13">
        <v>45232</v>
      </c>
      <c r="C657" s="13">
        <v>45274</v>
      </c>
      <c r="D657" s="13">
        <v>45276</v>
      </c>
      <c r="E657" s="16" t="s">
        <v>924</v>
      </c>
      <c r="F657" s="16" t="s">
        <v>16</v>
      </c>
      <c r="G657" s="17">
        <v>1</v>
      </c>
      <c r="H657" s="18" t="s">
        <v>925</v>
      </c>
    </row>
    <row r="658" spans="1:8" x14ac:dyDescent="0.25">
      <c r="A658" s="14" t="s">
        <v>5</v>
      </c>
      <c r="B658" s="15">
        <v>45232</v>
      </c>
      <c r="C658" s="15">
        <v>45274</v>
      </c>
      <c r="D658" s="15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25">
      <c r="A659" s="12" t="s">
        <v>5</v>
      </c>
      <c r="B659" s="13">
        <v>45232</v>
      </c>
      <c r="C659" s="13">
        <v>45274</v>
      </c>
      <c r="D659" s="13">
        <v>45278</v>
      </c>
      <c r="E659" s="16" t="s">
        <v>924</v>
      </c>
      <c r="F659" s="16" t="s">
        <v>16</v>
      </c>
      <c r="G659" s="17">
        <v>1</v>
      </c>
      <c r="H659" s="18" t="s">
        <v>925</v>
      </c>
    </row>
    <row r="660" spans="1:8" x14ac:dyDescent="0.25">
      <c r="A660" s="14" t="s">
        <v>5</v>
      </c>
      <c r="B660" s="15">
        <v>45232</v>
      </c>
      <c r="C660" s="15">
        <v>45274</v>
      </c>
      <c r="D660" s="15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25">
      <c r="A661" s="12" t="s">
        <v>5</v>
      </c>
      <c r="B661" s="13">
        <v>45232</v>
      </c>
      <c r="C661" s="13">
        <v>45274</v>
      </c>
      <c r="D661" s="13">
        <v>45280</v>
      </c>
      <c r="E661" s="16" t="s">
        <v>924</v>
      </c>
      <c r="F661" s="16" t="s">
        <v>16</v>
      </c>
      <c r="G661" s="17">
        <v>1</v>
      </c>
      <c r="H661" s="18" t="s">
        <v>925</v>
      </c>
    </row>
    <row r="662" spans="1:8" x14ac:dyDescent="0.25">
      <c r="A662" s="14" t="s">
        <v>5</v>
      </c>
      <c r="B662" s="15">
        <v>45232</v>
      </c>
      <c r="C662" s="15">
        <v>45274</v>
      </c>
      <c r="D662" s="15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25">
      <c r="A663" s="12" t="s">
        <v>5</v>
      </c>
      <c r="B663" s="13">
        <v>45232</v>
      </c>
      <c r="C663" s="13">
        <v>45274</v>
      </c>
      <c r="D663" s="13">
        <v>45282</v>
      </c>
      <c r="E663" s="16" t="s">
        <v>924</v>
      </c>
      <c r="F663" s="16" t="s">
        <v>16</v>
      </c>
      <c r="G663" s="17">
        <v>1</v>
      </c>
      <c r="H663" s="18" t="s">
        <v>925</v>
      </c>
    </row>
    <row r="664" spans="1:8" x14ac:dyDescent="0.25">
      <c r="A664" s="14" t="s">
        <v>5</v>
      </c>
      <c r="B664" s="15">
        <v>45232</v>
      </c>
      <c r="C664" s="15">
        <v>45274</v>
      </c>
      <c r="D664" s="15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25">
      <c r="A665" s="12" t="s">
        <v>5</v>
      </c>
      <c r="B665" s="13">
        <v>45232</v>
      </c>
      <c r="C665" s="13">
        <v>45274</v>
      </c>
      <c r="D665" s="13">
        <v>45284</v>
      </c>
      <c r="E665" s="16" t="s">
        <v>924</v>
      </c>
      <c r="F665" s="16" t="s">
        <v>16</v>
      </c>
      <c r="G665" s="17">
        <v>1</v>
      </c>
      <c r="H665" s="18" t="s">
        <v>925</v>
      </c>
    </row>
    <row r="666" spans="1:8" x14ac:dyDescent="0.25">
      <c r="A666" s="14" t="s">
        <v>5</v>
      </c>
      <c r="B666" s="15">
        <v>45232</v>
      </c>
      <c r="C666" s="15">
        <v>45274</v>
      </c>
      <c r="D666" s="15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25">
      <c r="A667" s="12" t="s">
        <v>5</v>
      </c>
      <c r="B667" s="13">
        <v>45232</v>
      </c>
      <c r="C667" s="13">
        <v>45274</v>
      </c>
      <c r="D667" s="13">
        <v>45290</v>
      </c>
      <c r="E667" s="16" t="s">
        <v>924</v>
      </c>
      <c r="F667" s="16" t="s">
        <v>16</v>
      </c>
      <c r="G667" s="17">
        <v>3</v>
      </c>
      <c r="H667" s="18" t="s">
        <v>925</v>
      </c>
    </row>
    <row r="668" spans="1:8" x14ac:dyDescent="0.25">
      <c r="A668" s="14" t="s">
        <v>926</v>
      </c>
      <c r="B668" s="15">
        <v>45231</v>
      </c>
      <c r="C668" s="15">
        <v>45274</v>
      </c>
      <c r="D668" s="15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25">
      <c r="A669" s="12" t="s">
        <v>7</v>
      </c>
      <c r="B669" s="13">
        <v>45245</v>
      </c>
      <c r="C669" s="13">
        <v>45274</v>
      </c>
      <c r="D669" s="13">
        <v>45307</v>
      </c>
      <c r="E669" s="16" t="s">
        <v>929</v>
      </c>
      <c r="F669" s="16" t="s">
        <v>16</v>
      </c>
      <c r="G669" s="17">
        <v>58</v>
      </c>
      <c r="H669" s="18" t="s">
        <v>930</v>
      </c>
    </row>
    <row r="670" spans="1:8" x14ac:dyDescent="0.25">
      <c r="A670" s="14" t="s">
        <v>66</v>
      </c>
      <c r="B670" s="15">
        <v>45245</v>
      </c>
      <c r="C670" s="15">
        <v>45274</v>
      </c>
      <c r="D670" s="15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25">
      <c r="A671" s="12" t="s">
        <v>76</v>
      </c>
      <c r="B671" s="13">
        <v>45239</v>
      </c>
      <c r="C671" s="13">
        <v>45274</v>
      </c>
      <c r="D671" s="13">
        <v>45299</v>
      </c>
      <c r="E671" s="16" t="s">
        <v>654</v>
      </c>
      <c r="F671" s="16" t="s">
        <v>15</v>
      </c>
      <c r="G671" s="17">
        <v>23</v>
      </c>
      <c r="H671" s="18" t="s">
        <v>655</v>
      </c>
    </row>
    <row r="672" spans="1:8" x14ac:dyDescent="0.25">
      <c r="A672" s="14" t="s">
        <v>5</v>
      </c>
      <c r="B672" s="15">
        <v>45236</v>
      </c>
      <c r="C672" s="15">
        <v>45275</v>
      </c>
      <c r="D672" s="15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25">
      <c r="A673" s="12" t="s">
        <v>6</v>
      </c>
      <c r="B673" s="13">
        <v>45236</v>
      </c>
      <c r="C673" s="13">
        <v>45275</v>
      </c>
      <c r="D673" s="13">
        <v>45296</v>
      </c>
      <c r="E673" s="16" t="s">
        <v>934</v>
      </c>
      <c r="F673" s="16" t="s">
        <v>16</v>
      </c>
      <c r="G673" s="17">
        <v>85</v>
      </c>
      <c r="H673" s="18" t="s">
        <v>935</v>
      </c>
    </row>
    <row r="674" spans="1:8" x14ac:dyDescent="0.25">
      <c r="A674" s="14" t="s">
        <v>6</v>
      </c>
      <c r="B674" s="15">
        <v>45236</v>
      </c>
      <c r="C674" s="15">
        <v>45275</v>
      </c>
      <c r="D674" s="15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25">
      <c r="A675" s="12" t="s">
        <v>6</v>
      </c>
      <c r="B675" s="13">
        <v>45236</v>
      </c>
      <c r="C675" s="13">
        <v>45275</v>
      </c>
      <c r="D675" s="13">
        <v>45296</v>
      </c>
      <c r="E675" s="16" t="s">
        <v>934</v>
      </c>
      <c r="F675" s="16" t="s">
        <v>16</v>
      </c>
      <c r="G675" s="17">
        <v>1</v>
      </c>
      <c r="H675" s="18" t="s">
        <v>937</v>
      </c>
    </row>
    <row r="676" spans="1:8" x14ac:dyDescent="0.25">
      <c r="A676" s="14" t="s">
        <v>6</v>
      </c>
      <c r="B676" s="15">
        <v>45236</v>
      </c>
      <c r="C676" s="15">
        <v>45275</v>
      </c>
      <c r="D676" s="15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25">
      <c r="A677" s="12" t="s">
        <v>8</v>
      </c>
      <c r="B677" s="13">
        <v>45238</v>
      </c>
      <c r="C677" s="13">
        <v>45278</v>
      </c>
      <c r="D677" s="13">
        <v>45299</v>
      </c>
      <c r="E677" s="16" t="s">
        <v>939</v>
      </c>
      <c r="F677" s="16" t="s">
        <v>16</v>
      </c>
      <c r="G677" s="17">
        <v>75</v>
      </c>
      <c r="H677" s="18" t="s">
        <v>940</v>
      </c>
    </row>
    <row r="678" spans="1:8" x14ac:dyDescent="0.25">
      <c r="A678" s="14" t="s">
        <v>8</v>
      </c>
      <c r="B678" s="15">
        <v>45238</v>
      </c>
      <c r="C678" s="15">
        <v>45278</v>
      </c>
      <c r="D678" s="15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25">
      <c r="A679" s="12" t="s">
        <v>8</v>
      </c>
      <c r="B679" s="13">
        <v>45238</v>
      </c>
      <c r="C679" s="13">
        <v>45278</v>
      </c>
      <c r="D679" s="13">
        <v>45299</v>
      </c>
      <c r="E679" s="16" t="s">
        <v>939</v>
      </c>
      <c r="F679" s="16" t="s">
        <v>16</v>
      </c>
      <c r="G679" s="17">
        <v>1</v>
      </c>
      <c r="H679" s="18" t="s">
        <v>942</v>
      </c>
    </row>
    <row r="680" spans="1:8" x14ac:dyDescent="0.25">
      <c r="A680" s="14" t="s">
        <v>8</v>
      </c>
      <c r="B680" s="15">
        <v>45238</v>
      </c>
      <c r="C680" s="15">
        <v>45278</v>
      </c>
      <c r="D680" s="15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25">
      <c r="A681" s="12" t="s">
        <v>7</v>
      </c>
      <c r="B681" s="13">
        <v>45233</v>
      </c>
      <c r="C681" s="13">
        <v>45278</v>
      </c>
      <c r="D681" s="13">
        <v>45291</v>
      </c>
      <c r="E681" s="16" t="s">
        <v>51</v>
      </c>
      <c r="F681" s="16" t="s">
        <v>16</v>
      </c>
      <c r="G681" s="17">
        <v>73</v>
      </c>
      <c r="H681" s="18" t="s">
        <v>255</v>
      </c>
    </row>
    <row r="682" spans="1:8" x14ac:dyDescent="0.25">
      <c r="A682" s="14" t="s">
        <v>7</v>
      </c>
      <c r="B682" s="15">
        <v>45233</v>
      </c>
      <c r="C682" s="15">
        <v>45278</v>
      </c>
      <c r="D682" s="15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25">
      <c r="A683" s="12" t="s">
        <v>7</v>
      </c>
      <c r="B683" s="13">
        <v>45233</v>
      </c>
      <c r="C683" s="13">
        <v>45278</v>
      </c>
      <c r="D683" s="13">
        <v>45291</v>
      </c>
      <c r="E683" s="16" t="s">
        <v>51</v>
      </c>
      <c r="F683" s="16" t="s">
        <v>16</v>
      </c>
      <c r="G683" s="17">
        <v>1</v>
      </c>
      <c r="H683" s="18" t="s">
        <v>258</v>
      </c>
    </row>
    <row r="684" spans="1:8" x14ac:dyDescent="0.25">
      <c r="A684" s="14" t="s">
        <v>7</v>
      </c>
      <c r="B684" s="15">
        <v>45233</v>
      </c>
      <c r="C684" s="15">
        <v>45278</v>
      </c>
      <c r="D684" s="15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25">
      <c r="A685" s="12" t="s">
        <v>7</v>
      </c>
      <c r="B685" s="13">
        <v>45239</v>
      </c>
      <c r="C685" s="13">
        <v>45278</v>
      </c>
      <c r="D685" s="13">
        <v>45317</v>
      </c>
      <c r="E685" s="16" t="s">
        <v>945</v>
      </c>
      <c r="F685" s="16" t="s">
        <v>16</v>
      </c>
      <c r="G685" s="17">
        <v>32</v>
      </c>
      <c r="H685" s="18" t="s">
        <v>946</v>
      </c>
    </row>
    <row r="686" spans="1:8" x14ac:dyDescent="0.25">
      <c r="A686" s="14" t="s">
        <v>6</v>
      </c>
      <c r="B686" s="15">
        <v>45239</v>
      </c>
      <c r="C686" s="15">
        <v>45278</v>
      </c>
      <c r="D686" s="15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25">
      <c r="A687" s="12" t="s">
        <v>6</v>
      </c>
      <c r="B687" s="13">
        <v>45239</v>
      </c>
      <c r="C687" s="13">
        <v>45278</v>
      </c>
      <c r="D687" s="13">
        <v>45317</v>
      </c>
      <c r="E687" s="16" t="s">
        <v>945</v>
      </c>
      <c r="F687" s="16" t="s">
        <v>16</v>
      </c>
      <c r="G687" s="17">
        <v>3</v>
      </c>
      <c r="H687" s="18" t="s">
        <v>736</v>
      </c>
    </row>
    <row r="688" spans="1:8" x14ac:dyDescent="0.25">
      <c r="A688" s="14" t="s">
        <v>97</v>
      </c>
      <c r="B688" s="15">
        <v>45239</v>
      </c>
      <c r="C688" s="15">
        <v>45278</v>
      </c>
      <c r="D688" s="15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25">
      <c r="A689" s="12" t="s">
        <v>63</v>
      </c>
      <c r="B689" s="13">
        <v>45244</v>
      </c>
      <c r="C689" s="13">
        <v>45280</v>
      </c>
      <c r="D689" s="13">
        <v>45305</v>
      </c>
      <c r="E689" s="16" t="s">
        <v>949</v>
      </c>
      <c r="F689" s="16" t="s">
        <v>15</v>
      </c>
      <c r="G689" s="17">
        <v>103</v>
      </c>
      <c r="H689" s="18" t="s">
        <v>950</v>
      </c>
    </row>
    <row r="690" spans="1:8" x14ac:dyDescent="0.25">
      <c r="A690" s="14" t="s">
        <v>6</v>
      </c>
      <c r="B690" s="15">
        <v>45243</v>
      </c>
      <c r="C690" s="15">
        <v>45280</v>
      </c>
      <c r="D690" s="15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25">
      <c r="A691" s="12" t="s">
        <v>7</v>
      </c>
      <c r="B691" s="13">
        <v>45245</v>
      </c>
      <c r="C691" s="13">
        <v>45280</v>
      </c>
      <c r="D691" s="13">
        <v>45306</v>
      </c>
      <c r="E691" s="16" t="s">
        <v>952</v>
      </c>
      <c r="F691" s="16" t="s">
        <v>15</v>
      </c>
      <c r="G691" s="17">
        <v>85</v>
      </c>
      <c r="H691" s="18" t="s">
        <v>953</v>
      </c>
    </row>
    <row r="692" spans="1:8" x14ac:dyDescent="0.25">
      <c r="A692" s="14" t="s">
        <v>66</v>
      </c>
      <c r="B692" s="15">
        <v>45245</v>
      </c>
      <c r="C692" s="15">
        <v>45281</v>
      </c>
      <c r="D692" s="15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25">
      <c r="A693" s="12" t="s">
        <v>66</v>
      </c>
      <c r="B693" s="13">
        <v>45245</v>
      </c>
      <c r="C693" s="13">
        <v>45281</v>
      </c>
      <c r="D693" s="13">
        <v>45323</v>
      </c>
      <c r="E693" s="16" t="s">
        <v>954</v>
      </c>
      <c r="F693" s="16" t="s">
        <v>16</v>
      </c>
      <c r="G693" s="17">
        <v>2</v>
      </c>
      <c r="H693" s="18" t="s">
        <v>955</v>
      </c>
    </row>
    <row r="694" spans="1:8" x14ac:dyDescent="0.25">
      <c r="A694" s="14" t="s">
        <v>66</v>
      </c>
      <c r="B694" s="15">
        <v>45245</v>
      </c>
      <c r="C694" s="15">
        <v>45281</v>
      </c>
      <c r="D694" s="15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25">
      <c r="A695" s="12" t="s">
        <v>66</v>
      </c>
      <c r="B695" s="13">
        <v>45245</v>
      </c>
      <c r="C695" s="13">
        <v>45281</v>
      </c>
      <c r="D695" s="13">
        <v>45310</v>
      </c>
      <c r="E695" s="16" t="s">
        <v>956</v>
      </c>
      <c r="F695" s="16" t="s">
        <v>16</v>
      </c>
      <c r="G695" s="17">
        <v>57</v>
      </c>
      <c r="H695" s="18" t="s">
        <v>957</v>
      </c>
    </row>
    <row r="696" spans="1:8" x14ac:dyDescent="0.25">
      <c r="A696" s="14" t="s">
        <v>7</v>
      </c>
      <c r="B696" s="15">
        <v>45245</v>
      </c>
      <c r="C696" s="15">
        <v>45282</v>
      </c>
      <c r="D696" s="15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25">
      <c r="A697" s="12" t="s">
        <v>7</v>
      </c>
      <c r="B697" s="13">
        <v>45245</v>
      </c>
      <c r="C697" s="13">
        <v>45282</v>
      </c>
      <c r="D697" s="13">
        <v>45261</v>
      </c>
      <c r="E697" s="16" t="s">
        <v>958</v>
      </c>
      <c r="F697" s="16" t="s">
        <v>16</v>
      </c>
      <c r="G697" s="17">
        <v>15</v>
      </c>
      <c r="H697" s="18" t="s">
        <v>960</v>
      </c>
    </row>
    <row r="698" spans="1:8" x14ac:dyDescent="0.25">
      <c r="A698" s="14" t="s">
        <v>79</v>
      </c>
      <c r="B698" s="15">
        <v>45245</v>
      </c>
      <c r="C698" s="15">
        <v>45282</v>
      </c>
      <c r="D698" s="15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DB43AC9-8DB6-4E14-954F-CE630D1075EA}"/>
</file>

<file path=customXml/itemProps2.xml><?xml version="1.0" encoding="utf-8"?>
<ds:datastoreItem xmlns:ds="http://schemas.openxmlformats.org/officeDocument/2006/customXml" ds:itemID="{A88990FD-088B-45B9-8751-4C56F8338E29}"/>
</file>

<file path=customXml/itemProps3.xml><?xml version="1.0" encoding="utf-8"?>
<ds:datastoreItem xmlns:ds="http://schemas.openxmlformats.org/officeDocument/2006/customXml" ds:itemID="{110ED65F-5BD8-4447-9020-646F355DDC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2023-12-26T16:02:40Z</dcterms:modified>
  <cp:category>Calculating WARN Report</cp:category>
</cp:coreProperties>
</file>