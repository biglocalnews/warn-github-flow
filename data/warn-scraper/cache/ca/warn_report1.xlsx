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666617AB-9D75-4CCF-BEA0-79BDA78220CF}" xr6:coauthVersionLast="47" xr6:coauthVersionMax="47" xr10:uidLastSave="{00000000-0000-0000-0000-000000000000}"/>
  <bookViews>
    <workbookView xWindow="29760" yWindow="960" windowWidth="21600" windowHeight="11235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6" i="2"/>
  <c r="B7" i="2"/>
  <c r="B4" i="2"/>
  <c r="B5" i="2"/>
  <c r="B3" i="2"/>
  <c r="B8" i="2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<sst xmlns="http://schemas.openxmlformats.org/spreadsheetml/2006/main" count="6916" uniqueCount="2346">
  <si>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</si>
  <si>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</si>
  <si>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</si>
  <si>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</si>
  <si>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</si>
  <si>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</si>
  <si>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</si>
  <si>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</si>
  <si>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</si>
  <si>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</si>
  <si>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</si>
  <si>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</si>
  <si>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</si>
  <si>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</si>
  <si>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</si>
  <si>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</si>
  <si>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</si>
  <si>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</si>
  <si>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</si>
  <si>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</si>
  <si>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</si>
  <si>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</si>
  <si>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</si>
  <si>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</si>
  <si>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</si>
  <si>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</si>
  <si>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</si>
  <si>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</si>
  <si>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</si>
  <si>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</si>
  <si>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</si>
  <si>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</si>
  <si>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</si>
  <si>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</si>
  <si>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</si>
  <si>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</si>
  <si>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</si>
  <si>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</si>
  <si>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</si>
  <si>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</si>
  <si>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</si>
  <si>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</si>
  <si>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</si>
  <si>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</si>
  <si>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</si>
  <si>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</si>
  <si>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</si>
  <si>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</si>
  <si>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</si>
  <si>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</si>
  <si>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</si>
  <si>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</si>
  <si>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</si>
  <si>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</si>
  <si>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</si>
  <si>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</si>
  <si>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</si>
  <si>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</si>
  <si>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</si>
  <si>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</si>
  <si>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</si>
  <si>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</si>
  <si>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</si>
  <si>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</si>
  <si>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</si>
  <si>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</si>
  <si>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</si>
  <si>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</si>
  <si>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</si>
  <si>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</si>
  <si>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</si>
  <si>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</si>
  <si>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</si>
  <si>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</si>
  <si>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</si>
  <si>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</si>
  <si>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</si>
  <si>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</si>
  <si>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</si>
  <si>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</si>
  <si>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</si>
  <si>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</si>
  <si>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</si>
  <si>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</si>
  <si>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</si>
  <si>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</si>
  <si>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</si>
  <si>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</si>
  <si>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</si>
  <si>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</si>
  <si>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</si>
  <si>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</si>
  <si>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</si>
  <si>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</si>
  <si>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</si>
  <si>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</si>
  <si>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</si>
  <si>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</si>
  <si>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</si>
  <si>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</si>
  <si>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</si>
  <si>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</si>
  <si>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</si>
  <si>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</si>
  <si>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</si>
  <si>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</si>
  <si>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</si>
  <si>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</si>
  <si>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</si>
  <si>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</si>
  <si>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</si>
  <si>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</si>
  <si>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</si>
  <si>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</si>
  <si>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</si>
  <si>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</si>
  <si>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</si>
  <si>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</si>
  <si>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</si>
  <si>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</si>
  <si>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</si>
  <si>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</si>
  <si>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</si>
  <si>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</si>
  <si>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</si>
  <si>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</si>
  <si>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</si>
  <si>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</si>
  <si>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</si>
  <si>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</si>
  <si>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</si>
  <si>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</si>
  <si>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</si>
  <si>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</si>
  <si>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</si>
  <si>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</si>
  <si>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</si>
  <si>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</si>
  <si>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</si>
  <si>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</si>
  <si>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</si>
  <si>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</si>
  <si>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</si>
  <si>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</si>
  <si>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</si>
  <si>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</si>
  <si>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</si>
  <si>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</si>
  <si>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</si>
  <si>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</si>
  <si>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</si>
  <si>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</si>
  <si>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</si>
  <si>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</si>
  <si>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</si>
  <si>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</si>
  <si>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</si>
  <si>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</si>
  <si>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</si>
  <si>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</si>
  <si>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</si>
  <si>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</si>
  <si>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</si>
  <si>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</si>
  <si>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</si>
  <si>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</si>
  <si>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</si>
  <si>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</si>
  <si>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</si>
  <si>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</si>
  <si>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</si>
  <si>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</si>
  <si>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</si>
  <si>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</si>
  <si>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</si>
  <si>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</si>
  <si>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</si>
  <si>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</si>
  <si>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</si>
  <si>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</si>
  <si>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</si>
  <si>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</si>
  <si>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</si>
  <si>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</si>
  <si>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</si>
  <si>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</si>
  <si>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</si>
  <si>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</si>
  <si>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</si>
  <si>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</si>
  <si>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</si>
  <si>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</si>
  <si>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</si>
  <si>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</si>
  <si>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</si>
  <si>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</si>
  <si>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</si>
  <si>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</si>
  <si>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</si>
  <si>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</si>
  <si>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</si>
  <si>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</si>
  <si>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</si>
  <si>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</si>
  <si>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</si>
  <si>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</si>
  <si>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</si>
  <si>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</si>
  <si>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</si>
  <si>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</si>
  <si>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</si>
  <si>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</si>
  <si>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</si>
  <si>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</si>
  <si>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</si>
  <si>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</si>
  <si>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</si>
  <si>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</si>
  <si>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</si>
  <si>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</si>
  <si>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</si>
  <si>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</si>
  <si>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</si>
  <si>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</si>
  <si>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</si>
  <si>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</si>
  <si>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</si>
  <si>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</si>
  <si>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</si>
  <si>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</si>
  <si>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</si>
  <si>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</si>
  <si>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</si>
  <si>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</si>
  <si>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</si>
  <si>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</si>
  <si>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</si>
  <si>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</si>
  <si>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</si>
  <si>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</si>
  <si>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</si>
  <si>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</si>
  <si>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</si>
  <si>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</si>
  <si>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</si>
  <si>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</si>
  <si>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</si>
  <si>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</si>
  <si>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</si>
  <si>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</si>
  <si>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</si>
  <si>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</si>
  <si>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</si>
  <si>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</si>
  <si>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</si>
  <si>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</si>
  <si>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</si>
  <si>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</si>
  <si>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</si>
  <si>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</si>
  <si>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</si>
  <si>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</si>
  <si>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</si>
  <si>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</si>
  <si>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</si>
  <si>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</si>
  <si>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</si>
  <si>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</si>
  <si>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</si>
  <si>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</si>
  <si>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</si>
  <si>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</si>
  <si>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</si>
  <si>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</si>
  <si>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</si>
  <si>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</si>
  <si>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</si>
  <si>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</si>
  <si>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</si>
  <si>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</si>
  <si>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</si>
  <si>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</si>
  <si>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</si>
  <si>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</si>
  <si>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</si>
  <si>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</si>
  <si>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</si>
  <si>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</si>
  <si>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</si>
  <si>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</si>
  <si>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</si>
  <si>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</si>
  <si>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</si>
  <si>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</si>
  <si>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</si>
  <si>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</si>
  <si>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</si>
  <si>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</si>
  <si>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</si>
  <si>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</si>
  <si>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</si>
  <si>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</si>
  <si>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</si>
  <si>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</si>
  <si>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</si>
  <si>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</si>
  <si>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</si>
  <si>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</si>
  <si>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</si>
  <si>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</si>
  <si>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</si>
  <si>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</si>
  <si>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</si>
  <si>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</si>
  <si>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</si>
  <si>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</si>
  <si>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</si>
  <si>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</si>
  <si>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</si>
  <si>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</si>
  <si>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</si>
  <si>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</si>
  <si>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</si>
  <si>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</si>
  <si>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</si>
  <si>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</si>
  <si>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</si>
  <si>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</si>
  <si>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</si>
  <si>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</si>
  <si>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</si>
  <si>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</si>
  <si>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</si>
  <si>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</si>
  <si>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</si>
  <si>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</si>
  <si>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</si>
  <si>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</si>
  <si>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</si>
  <si>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</si>
  <si>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</si>
  <si>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</si>
  <si>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</si>
  <si>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</si>
  <si>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</si>
  <si>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</si>
  <si>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</si>
  <si>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</si>
  <si>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</si>
  <si>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</si>
  <si>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</si>
  <si>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</si>
  <si>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</si>
  <si>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</si>
  <si>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</si>
  <si>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</si>
  <si>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</si>
  <si>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</si>
  <si>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</si>
  <si>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</si>
  <si>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</si>
  <si>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</si>
  <si>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</si>
  <si>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</si>
  <si>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</si>
  <si>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</si>
  <si>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</si>
  <si>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</si>
  <si>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</si>
  <si>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</si>
  <si>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</si>
  <si>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</si>
  <si>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</si>
  <si>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</si>
  <si>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</si>
  <si>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</si>
  <si>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</si>
  <si>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</si>
  <si>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</si>
  <si>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</si>
  <si>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</si>
  <si>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</si>
  <si>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</si>
  <si>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</si>
  <si>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</si>
  <si>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</si>
  <si>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</si>
  <si>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</si>
  <si>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</si>
  <si>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</si>
  <si>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</si>
  <si>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</si>
  <si>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</si>
  <si>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</si>
  <si>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</si>
  <si>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</si>
  <si>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</si>
  <si>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</si>
  <si>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</si>
  <si>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</si>
  <si>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</si>
  <si>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</si>
  <si>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</si>
  <si>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</si>
  <si>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</si>
  <si>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</si>
  <si>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</si>
  <si>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</si>
  <si>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</si>
  <si>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</si>
  <si>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</si>
  <si>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</si>
  <si>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</si>
  <si>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</si>
  <si>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</si>
  <si>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</si>
  <si>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</si>
  <si>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</si>
  <si>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</si>
  <si>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</si>
  <si>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</si>
  <si>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</si>
  <si>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</si>
  <si>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</si>
  <si>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</si>
  <si>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</si>
  <si>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</si>
  <si>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</si>
  <si>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</si>
  <si>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</si>
  <si>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</si>
  <si>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</si>
  <si>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</si>
  <si>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</si>
  <si>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</si>
  <si>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</si>
  <si>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</si>
  <si>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</si>
  <si>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</si>
  <si>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</si>
  <si>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</si>
  <si>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</si>
  <si>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</si>
  <si>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</si>
  <si>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</si>
  <si>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</si>
  <si>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</si>
  <si>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</si>
  <si>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</si>
  <si>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</si>
  <si>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</si>
  <si>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</si>
  <si>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</si>
  <si>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</si>
  <si>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</si>
  <si>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</si>
  <si>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</si>
  <si>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</si>
  <si>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</si>
  <si>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</si>
  <si>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</si>
  <si>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</si>
  <si>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</si>
  <si>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</si>
  <si>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</si>
  <si>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</si>
  <si>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</si>
  <si>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</si>
  <si>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</si>
  <si>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</si>
  <si>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</si>
  <si>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</si>
  <si>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</si>
  <si>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</si>
  <si>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</si>
  <si>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</si>
  <si>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</si>
  <si>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</si>
  <si>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</si>
  <si>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</si>
  <si>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</si>
  <si>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</si>
  <si>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</si>
  <si>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</si>
  <si>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</si>
  <si>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</si>
  <si>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</si>
  <si>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</si>
  <si>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</si>
  <si>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</si>
  <si>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</si>
  <si>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</si>
  <si>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</si>
  <si>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</si>
  <si>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</si>
  <si>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</si>
  <si>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</si>
  <si>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</si>
  <si>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</si>
  <si>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</si>
  <si>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</si>
  <si>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</si>
  <si>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</si>
  <si>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</si>
  <si>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</si>
  <si>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</si>
  <si>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</si>
  <si>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</si>
  <si>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</si>
  <si>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</si>
  <si>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</si>
  <si>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</si>
  <si>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</si>
  <si>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</si>
  <si>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</si>
  <si>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</si>
  <si>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</si>
  <si>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</si>
  <si>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</si>
  <si>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</si>
  <si>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</si>
  <si>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</si>
  <si>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</si>
  <si>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</si>
  <si>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</si>
  <si>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</si>
  <si>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</si>
  <si>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</si>
  <si>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</si>
  <si>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</si>
  <si>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</si>
  <si>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</si>
  <si>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</si>
  <si>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</si>
  <si>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</si>
  <si>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</si>
  <si>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</si>
  <si>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</si>
  <si>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</si>
  <si>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</si>
  <si>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</si>
  <si>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</si>
  <si>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</si>
  <si>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</si>
  <si>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</si>
  <si>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</si>
  <si>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</si>
  <si>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</si>
  <si>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</si>
  <si>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</si>
  <si>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</si>
  <si>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</si>
  <si>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</si>
  <si>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</si>
  <si>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</si>
  <si>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</si>
  <si>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</si>
  <si>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</si>
  <si>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</si>
  <si>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</si>
  <si>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</si>
  <si>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</si>
  <si>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</si>
  <si>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</si>
  <si>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</si>
  <si>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</si>
  <si>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</si>
  <si>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</si>
  <si>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</si>
  <si>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</si>
  <si>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</si>
  <si>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</si>
  <si>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</si>
  <si>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</si>
  <si>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</si>
  <si>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</si>
  <si>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</si>
  <si>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</si>
  <si>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</si>
  <si>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</si>
  <si>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</si>
  <si>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</si>
  <si>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</si>
  <si>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</si>
  <si>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</si>
  <si>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</si>
  <si>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</si>
  <si>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</si>
  <si>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</si>
  <si>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</si>
  <si>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</si>
  <si>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</si>
  <si>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</si>
  <si>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</si>
  <si>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</si>
  <si>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</si>
  <si>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</si>
  <si>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</si>
  <si>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</si>
  <si>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</si>
  <si>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</si>
  <si>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</si>
  <si>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</si>
  <si>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</si>
  <si>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</si>
  <si>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</si>
  <si>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</si>
  <si>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</si>
  <si>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</si>
  <si>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</si>
  <si>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</si>
  <si>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</si>
  <si>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</si>
  <si>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</si>
  <si>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</si>
  <si>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</si>
  <si>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</si>
  <si>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</si>
  <si>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</si>
  <si>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</si>
  <si>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</si>
  <si>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</si>
  <si>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</si>
  <si>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</si>
  <si>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</si>
  <si>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</si>
  <si>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</si>
  <si>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</si>
  <si>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</si>
  <si>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</si>
  <si>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</si>
  <si>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</si>
  <si>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</si>
  <si>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</si>
  <si>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</si>
  <si>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</si>
  <si>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</si>
  <si>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</si>
  <si>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</si>
  <si>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</si>
  <si>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</si>
  <si>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</si>
  <si>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</si>
  <si>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</si>
  <si>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</si>
  <si>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</si>
  <si>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</si>
  <si>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</si>
  <si>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</si>
  <si>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</si>
  <si>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</si>
  <si>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</si>
  <si>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</si>
  <si>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</si>
  <si>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</si>
  <si>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</si>
  <si>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</si>
  <si>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</si>
  <si>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</si>
  <si>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</si>
  <si>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</si>
  <si>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</si>
  <si>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</si>
  <si>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</si>
  <si>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</si>
  <si>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</si>
  <si>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</si>
  <si>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</si>
  <si>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</si>
  <si>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</si>
  <si>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</si>
  <si>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</si>
  <si>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</si>
  <si>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</si>
  <si>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</si>
  <si>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</si>
  <si>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</si>
  <si>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</si>
  <si>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</si>
  <si>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</si>
  <si>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</si>
  <si>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</si>
  <si>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</si>
  <si>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</si>
  <si>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</si>
  <si>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</si>
  <si>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</si>
  <si>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</si>
  <si>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</si>
  <si>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</si>
  <si>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</si>
  <si>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</si>
  <si>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</si>
  <si>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</si>
  <si>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</si>
  <si>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</si>
  <si>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</si>
  <si>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</si>
  <si>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</si>
  <si>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</si>
  <si>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</si>
  <si>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</si>
  <si>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</si>
  <si>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</si>
  <si>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</si>
  <si>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</si>
  <si>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</si>
  <si>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</si>
  <si>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</si>
  <si>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</si>
  <si>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</si>
  <si>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</si>
  <si>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</si>
  <si>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</si>
  <si>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</si>
  <si>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</si>
  <si>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</si>
  <si>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</si>
  <si>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</si>
  <si>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</si>
  <si>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</si>
  <si>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</si>
  <si>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</si>
  <si>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</si>
  <si>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</si>
  <si>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</si>
  <si>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</si>
  <si>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</si>
  <si>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</si>
  <si>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</si>
  <si>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</si>
  <si>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</si>
  <si>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</si>
  <si>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</si>
  <si>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</si>
  <si>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</si>
  <si>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</si>
  <si>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</si>
  <si>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</si>
  <si>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</si>
  <si>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</si>
  <si>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</si>
  <si>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</si>
  <si>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</si>
  <si>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</si>
  <si>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</si>
  <si>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</si>
  <si>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</si>
  <si>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</si>
  <si>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</si>
  <si>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</si>
  <si>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</si>
  <si>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</si>
  <si>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</si>
  <si>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</si>
  <si>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</si>
  <si>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</si>
  <si>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</si>
  <si>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</si>
  <si>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</si>
  <si>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</si>
  <si>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</si>
  <si>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</si>
  <si>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</si>
  <si>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</si>
  <si>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</si>
  <si>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</si>
  <si>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</si>
  <si>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</si>
  <si>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</si>
  <si>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</si>
  <si>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</si>
  <si>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</si>
  <si>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</si>
  <si>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</si>
  <si>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</si>
  <si>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</si>
  <si>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</si>
  <si>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</si>
  <si>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</si>
  <si>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</si>
  <si>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</si>
  <si>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</si>
  <si>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</si>
  <si>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</si>
  <si>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</si>
  <si>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</si>
  <si>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</si>
  <si>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</si>
  <si>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</si>
  <si>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</si>
  <si>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</si>
  <si>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</si>
  <si>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</si>
  <si>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</si>
  <si>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</si>
  <si>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</si>
  <si>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</si>
  <si>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</si>
  <si>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</si>
  <si>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</si>
  <si>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</si>
  <si>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</si>
  <si>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</si>
  <si>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</si>
  <si>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</si>
  <si>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</si>
  <si>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</si>
  <si>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</si>
  <si>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</si>
  <si>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</si>
  <si>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</si>
  <si>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</si>
  <si>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</si>
  <si>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</si>
  <si>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</si>
  <si>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</si>
  <si>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</si>
  <si>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</si>
  <si>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</si>
  <si>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</si>
  <si>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</si>
  <si>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</si>
  <si>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</si>
  <si>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</si>
  <si>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</si>
  <si>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</si>
  <si>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</si>
  <si>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</si>
  <si>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</si>
  <si>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</si>
  <si>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</si>
  <si>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</si>
  <si>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</si>
  <si>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</si>
  <si>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</si>
  <si>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</si>
  <si>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</si>
  <si>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</si>
  <si>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</si>
  <si>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</si>
  <si>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</si>
  <si>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</si>
  <si>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</si>
  <si>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</si>
  <si>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</si>
  <si>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</si>
  <si>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</si>
  <si>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</si>
  <si>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</si>
  <si>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</si>
  <si>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</si>
  <si>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</si>
  <si>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</si>
  <si>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</si>
  <si>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</si>
  <si>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</si>
  <si>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</si>
  <si>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</si>
  <si>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</si>
  <si>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</si>
  <si>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</si>
  <si>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</si>
  <si>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</si>
  <si>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</si>
  <si>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</si>
  <si>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</si>
  <si>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</si>
  <si>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</si>
  <si>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</si>
  <si>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</si>
  <si>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</si>
  <si>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</si>
  <si>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</si>
  <si>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</si>
  <si>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</si>
  <si>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</si>
  <si>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</si>
  <si>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</si>
  <si>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</si>
  <si>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</si>
  <si>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</si>
  <si>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</si>
  <si>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</si>
  <si>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</si>
  <si>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</si>
  <si>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</si>
  <si>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</si>
  <si>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</si>
  <si>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</si>
  <si>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</si>
  <si>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</si>
  <si>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</si>
  <si>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</si>
  <si>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</si>
  <si>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</si>
  <si>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</si>
  <si>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</si>
  <si>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</si>
  <si>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</si>
  <si>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</si>
  <si>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</si>
  <si>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</si>
  <si>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</si>
  <si>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</si>
  <si>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</si>
  <si>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</si>
  <si>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</si>
  <si>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</si>
  <si>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</si>
  <si>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</si>
  <si>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</si>
  <si>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</si>
  <si>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</si>
  <si>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</si>
  <si>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</si>
  <si>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</si>
  <si>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</si>
  <si>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</si>
  <si>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</si>
  <si>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</si>
  <si>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</si>
  <si>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</si>
  <si>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</si>
  <si>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</si>
  <si>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</si>
  <si>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</si>
  <si>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</si>
  <si>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</si>
  <si>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</si>
  <si>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</si>
  <si>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</si>
  <si>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</si>
  <si>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</si>
  <si>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</si>
  <si>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</si>
  <si>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</si>
  <si>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</si>
  <si>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</si>
  <si>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</si>
  <si>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</si>
  <si>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</si>
  <si>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</si>
  <si>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</si>
  <si>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</si>
  <si>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</si>
  <si>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</si>
  <si>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</si>
  <si>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</si>
  <si>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</si>
  <si>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</si>
  <si>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</si>
  <si>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</si>
  <si>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</si>
  <si>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</si>
  <si>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</si>
  <si>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</si>
  <si>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</si>
  <si>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</si>
  <si>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</si>
  <si>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</si>
  <si>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</si>
  <si>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</si>
  <si>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</si>
  <si>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</si>
  <si>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</si>
  <si>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</si>
  <si>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</si>
  <si>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</si>
  <si>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</si>
  <si>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</si>
  <si>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</si>
  <si>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</si>
  <si>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</si>
  <si>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</si>
  <si>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</si>
  <si>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</si>
  <si>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</si>
  <si>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</si>
  <si>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</si>
  <si>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</si>
  <si>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</si>
  <si>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</si>
  <si>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</si>
  <si>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</si>
  <si>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</si>
  <si>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</si>
  <si>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</si>
  <si>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</si>
  <si>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</si>
  <si>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</si>
  <si>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</si>
  <si>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</si>
  <si>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</si>
  <si>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</si>
  <si>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</si>
  <si>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</si>
  <si>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</si>
  <si>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</si>
  <si>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</si>
  <si>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</si>
  <si>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</si>
  <si>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</si>
  <si>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</si>
  <si>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</si>
  <si>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</si>
  <si>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</si>
  <si>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</si>
  <si>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</si>
  <si>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</si>
  <si>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</si>
  <si>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</si>
  <si>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</si>
  <si>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</si>
  <si>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</si>
  <si>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</si>
  <si>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</si>
  <si>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</si>
  <si>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</si>
  <si>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</si>
  <si>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</si>
  <si>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</si>
  <si>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</si>
  <si>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</si>
  <si>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</si>
  <si>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</si>
  <si>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</si>
  <si>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</si>
  <si>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</si>
  <si>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</si>
  <si>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</si>
  <si>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</si>
  <si>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</si>
  <si>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</si>
  <si>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</si>
  <si>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</si>
  <si>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</si>
  <si>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</si>
  <si>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</si>
  <si>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</si>
  <si>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</si>
  <si>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</si>
  <si>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</si>
  <si>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</si>
  <si>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</si>
  <si>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</si>
  <si>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</si>
  <si>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</si>
  <si>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</si>
  <si>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</si>
  <si>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</si>
  <si>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</si>
  <si>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</si>
  <si>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</si>
  <si>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</si>
  <si>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</si>
  <si>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</si>
  <si>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</si>
  <si>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</si>
  <si>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</si>
  <si>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</si>
  <si>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</si>
  <si>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</si>
  <si>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</si>
  <si>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</si>
  <si>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</si>
  <si>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</si>
  <si>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</si>
  <si>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</si>
  <si>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</si>
  <si>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</si>
  <si>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</si>
  <si>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</si>
  <si>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</si>
  <si>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</si>
  <si>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</si>
  <si>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</si>
  <si>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</si>
  <si>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</si>
  <si>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</si>
  <si>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</si>
  <si>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</si>
  <si>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</si>
  <si>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</si>
  <si>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</si>
  <si>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</si>
  <si>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</si>
  <si>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</si>
  <si>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</si>
  <si>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</si>
  <si>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</si>
  <si>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</si>
  <si>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</si>
  <si>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</si>
  <si>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</si>
  <si>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</si>
  <si>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</si>
  <si>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</si>
  <si>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</si>
  <si>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</si>
  <si>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</si>
  <si>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</si>
  <si>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</si>
  <si>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</si>
  <si>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</si>
  <si>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</si>
  <si>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</si>
  <si>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</si>
  <si>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</si>
  <si>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</si>
  <si>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</si>
  <si>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</si>
  <si>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</si>
  <si>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</si>
  <si>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</si>
  <si>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</si>
  <si>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</si>
  <si>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</si>
  <si>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</si>
  <si>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</si>
  <si>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</si>
  <si>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</si>
  <si>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</si>
  <si>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</si>
  <si>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</si>
  <si>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</si>
  <si>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</si>
  <si>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</si>
  <si>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</si>
  <si>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</si>
  <si>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</si>
  <si>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</si>
  <si>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</si>
  <si>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</si>
  <si>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</si>
  <si>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</si>
  <si>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</si>
  <si>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</si>
  <si>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</si>
  <si>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</si>
  <si>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</si>
  <si>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</si>
  <si>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</si>
  <si>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</si>
  <si>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</si>
  <si>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</si>
  <si>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</si>
  <si>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</si>
  <si>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</si>
  <si>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</si>
  <si>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</si>
  <si>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</si>
  <si>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</si>
  <si>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</si>
  <si>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</si>
  <si>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</si>
  <si>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</si>
  <si>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</si>
  <si>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</si>
  <si>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</si>
  <si>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</si>
  <si>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</si>
  <si>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</si>
  <si>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</si>
  <si>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</si>
  <si>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</si>
  <si>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</si>
  <si>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</si>
  <si>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</si>
  <si>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</si>
  <si>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</si>
  <si>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</si>
  <si>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</si>
  <si>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</si>
  <si>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</si>
  <si>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</si>
  <si>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</si>
  <si>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</si>
  <si>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</si>
  <si>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</si>
  <si>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</si>
  <si>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</si>
  <si>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</si>
  <si>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</si>
  <si>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</si>
  <si>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</si>
  <si>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</si>
  <si>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</si>
  <si>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</si>
  <si>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</si>
  <si>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</si>
  <si>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</si>
  <si>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</si>
  <si>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</si>
  <si>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</si>
  <si>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</si>
  <si>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</si>
  <si>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</si>
  <si>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</si>
  <si>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</si>
  <si>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</si>
  <si>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</si>
  <si>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</si>
  <si>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</si>
  <si>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</si>
  <si>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</si>
  <si>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</si>
  <si>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</si>
  <si>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</si>
  <si>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</si>
  <si>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</si>
  <si>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</si>
  <si>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</si>
  <si>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</si>
  <si>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</si>
  <si>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</si>
  <si>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</si>
  <si>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</si>
  <si>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</si>
  <si>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</si>
  <si>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</si>
  <si>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</si>
  <si>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</si>
  <si>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</si>
  <si>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</si>
  <si>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</si>
  <si>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</si>
  <si>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</si>
  <si>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</si>
  <si>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</si>
  <si>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</si>
  <si>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</si>
  <si>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</si>
  <si>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</si>
  <si>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</si>
  <si>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</si>
  <si>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</si>
  <si>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</si>
  <si>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</si>
  <si>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</si>
  <si>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</si>
  <si>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</si>
  <si>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</si>
  <si>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</si>
  <si>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</si>
  <si>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</si>
  <si>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</si>
  <si>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</si>
  <si>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</si>
  <si>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</si>
  <si>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</si>
  <si>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</si>
  <si>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</si>
  <si>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</si>
  <si>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</si>
  <si>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</si>
  <si>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</si>
  <si>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</si>
  <si>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</si>
  <si>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</si>
  <si>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</si>
  <si>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</si>
  <si>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</si>
  <si>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</si>
  <si>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</si>
  <si>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</si>
  <si>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</si>
  <si>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</si>
  <si>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</si>
  <si>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</si>
  <si>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</si>
  <si>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</si>
  <si>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</si>
  <si>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</si>
  <si>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</si>
  <si>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</si>
  <si>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</si>
  <si>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</si>
  <si>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</si>
  <si>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</si>
  <si>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</si>
  <si>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</si>
  <si>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</si>
  <si>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</si>
  <si>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</si>
  <si>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</si>
  <si>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</si>
  <si>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</si>
  <si>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</si>
  <si>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</si>
  <si>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</si>
  <si>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</si>
  <si>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</si>
  <si>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</si>
  <si>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</si>
  <si>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</si>
  <si>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</si>
  <si>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</si>
  <si>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</si>
  <si>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</si>
  <si>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</si>
  <si>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</si>
  <si>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</si>
  <si>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</si>
  <si>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</si>
  <si>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</si>
  <si>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</si>
  <si>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</si>
  <si>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</si>
  <si>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</si>
  <si>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</si>
  <si>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</si>
  <si>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</si>
  <si>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</si>
  <si>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</si>
  <si>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</si>
  <si>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</si>
  <si>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</si>
  <si>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</si>
  <si>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</si>
  <si>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</si>
  <si>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</si>
  <si>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</si>
  <si>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</si>
  <si>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</si>
  <si>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</si>
  <si>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</si>
  <si>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</si>
  <si>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</si>
  <si>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</si>
  <si>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</si>
  <si>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</si>
  <si>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</si>
  <si>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</si>
  <si>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</si>
  <si>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</si>
  <si>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</si>
  <si>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</si>
  <si>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</si>
  <si>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</si>
  <si>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</si>
  <si>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</si>
  <si>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</si>
  <si>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</si>
  <si>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</si>
  <si>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</si>
  <si>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</si>
  <si>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</si>
  <si>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</si>
  <si>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</si>
  <si>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</si>
  <si>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</si>
  <si>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</si>
  <si>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</si>
  <si>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</si>
  <si>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</si>
  <si>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</si>
  <si>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</si>
  <si>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</si>
  <si>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</si>
  <si>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</si>
  <si>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</si>
  <si>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</si>
  <si>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</si>
  <si>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</si>
  <si>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</si>
  <si>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</si>
  <si>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</si>
  <si>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</si>
  <si>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</si>
  <si>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</si>
  <si>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</si>
  <si>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</si>
  <si>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</si>
  <si>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</si>
  <si>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</si>
  <si>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</si>
  <si>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</si>
  <si>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</si>
  <si>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</si>
  <si>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</si>
  <si>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</si>
  <si>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</si>
  <si>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</si>
  <si>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</si>
  <si>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</si>
  <si>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</si>
  <si>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</si>
  <si>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</si>
  <si>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</si>
  <si>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</si>
  <si>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</si>
  <si>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</si>
  <si>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</si>
  <si>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</si>
  <si>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</si>
  <si>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</si>
  <si>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</si>
  <si>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</si>
  <si>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</si>
  <si>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</si>
  <si>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</si>
  <si>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</si>
  <si>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</si>
  <si>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</si>
  <si>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</si>
  <si>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</si>
  <si>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</si>
  <si>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</si>
  <si>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</si>
  <si>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</si>
  <si>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</si>
  <si>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</si>
  <si>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</si>
  <si>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</si>
  <si>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</si>
  <si>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</si>
  <si>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</si>
  <si>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</si>
  <si>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</si>
  <si>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</si>
  <si>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</si>
  <si>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</si>
  <si>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</si>
  <si>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</si>
  <si>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</si>
  <si>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</si>
  <si>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</si>
  <si>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</si>
  <si>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</si>
  <si>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</si>
  <si>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</si>
  <si>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</si>
  <si>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</si>
  <si>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</si>
  <si>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</si>
  <si>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</si>
  <si>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</si>
  <si>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</si>
  <si>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</si>
  <si>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</si>
  <si>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</si>
  <si>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</si>
  <si>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</si>
  <si>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</si>
  <si>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</si>
  <si>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</si>
  <si>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</si>
  <si>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</si>
  <si>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</si>
  <si>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</si>
  <si>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</si>
  <si>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</si>
  <si>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</si>
  <si>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</si>
  <si>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</si>
  <si>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</si>
  <si>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</si>
  <si>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</si>
  <si>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</si>
  <si>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</si>
  <si>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</si>
  <si>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</si>
  <si>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</si>
  <si>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</si>
  <si>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</si>
  <si>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</si>
  <si>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</si>
  <si>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</si>
  <si>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</si>
  <si>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</si>
  <si>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</si>
  <si>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</si>
  <si>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</si>
  <si>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</si>
  <si>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</si>
  <si>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</si>
  <si>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</si>
  <si>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</si>
  <si>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</si>
  <si>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</si>
  <si>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</si>
  <si>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</si>
  <si>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</si>
  <si>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</si>
  <si>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</si>
  <si>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</si>
  <si>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</si>
  <si>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</si>
  <si>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</si>
  <si>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</si>
  <si>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</si>
  <si>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</si>
  <si>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</si>
  <si>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</si>
  <si>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</si>
  <si>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</si>
  <si>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</si>
  <si>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</si>
  <si>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</si>
  <si>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</si>
  <si>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</si>
  <si>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</si>
  <si>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</si>
  <si>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</si>
  <si>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</si>
  <si>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</si>
  <si>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</si>
  <si>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</si>
  <si>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</si>
  <si>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</si>
  <si>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</si>
  <si>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</si>
  <si>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</si>
  <si>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</si>
  <si>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</si>
  <si>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</si>
  <si>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</si>
  <si>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</si>
  <si>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</si>
  <si>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</si>
  <si>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</si>
  <si>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</si>
  <si>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</si>
  <si>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</si>
  <si>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</si>
  <si>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</si>
  <si>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</si>
  <si>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</si>
  <si>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</si>
  <si>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</si>
  <si>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</si>
  <si>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</si>
  <si>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</si>
  <si>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</si>
  <si>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</si>
  <si>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</si>
  <si>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</si>
  <si>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</si>
  <si>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</si>
  <si>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</si>
  <si>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</si>
  <si>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</si>
  <si>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</si>
  <si>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</si>
  <si>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</si>
  <si>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</si>
  <si>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</si>
  <si>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</si>
  <si>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</si>
  <si>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</si>
  <si>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</si>
  <si>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</si>
  <si>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</si>
  <si>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</si>
  <si>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</si>
  <si>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</si>
  <si>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</si>
  <si>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</si>
  <si>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</si>
  <si>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</si>
  <si>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</si>
  <si>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</si>
  <si>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</si>
  <si>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</si>
  <si>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</si>
  <si>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</si>
  <si>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</si>
  <si>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</si>
  <si>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</si>
  <si>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</si>
  <si>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</si>
  <si>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</si>
  <si>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</si>
  <si>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</si>
  <si>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</si>
  <si>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</si>
  <si>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</si>
  <si>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</si>
  <si>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</si>
  <si>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</si>
  <si>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</si>
  <si>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</si>
  <si>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</si>
  <si>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</si>
  <si>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</si>
  <si>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</si>
  <si>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</si>
  <si>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</si>
  <si>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</si>
  <si>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</si>
  <si>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</si>
  <si>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</si>
  <si>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</si>
  <si>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</si>
  <si>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</si>
  <si>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</si>
  <si>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</si>
  <si>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</si>
  <si>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</si>
  <si>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</si>
  <si>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</si>
  <si>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</si>
  <si>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</si>
  <si>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</si>
  <si>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</si>
  <si>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</si>
  <si>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</si>
  <si>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</si>
  <si>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</si>
  <si>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</si>
  <si>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</si>
  <si>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</si>
  <si>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</si>
  <si>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</si>
  <si>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</si>
  <si>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</si>
  <si>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</si>
  <si>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</si>
  <si>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</si>
  <si>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</si>
  <si>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</si>
  <si>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</si>
  <si>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</si>
  <si>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</si>
  <si>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</si>
  <si>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</si>
  <si>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</si>
  <si>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</si>
  <si>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</si>
  <si>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</si>
  <si>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</si>
  <si>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</si>
  <si>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</si>
  <si>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</si>
  <si>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</si>
  <si>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</si>
  <si>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</si>
  <si>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</si>
  <si>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</si>
  <si>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</si>
  <si>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</si>
  <si>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</si>
  <si>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</si>
  <si>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</si>
  <si>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</si>
  <si>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</si>
  <si>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</si>
  <si>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</si>
  <si>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</si>
  <si>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</si>
  <si>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</si>
  <si>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</si>
  <si>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</si>
  <si>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</si>
  <si>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</si>
  <si>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</si>
  <si>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</si>
  <si>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</si>
  <si>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</si>
  <si>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</si>
  <si>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</si>
  <si>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</si>
  <si>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</si>
  <si>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</si>
  <si>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</si>
  <si>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</si>
  <si>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</si>
  <si>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</si>
  <si>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</si>
  <si>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</si>
  <si>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</si>
  <si>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</si>
  <si>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</si>
  <si>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</si>
  <si>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</si>
  <si>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</si>
  <si>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</si>
  <si>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</si>
  <si>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</si>
  <si>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</si>
  <si>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</si>
  <si>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</si>
  <si>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</si>
  <si>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</si>
  <si>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</si>
  <si>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</si>
  <si>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</si>
  <si>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</si>
  <si>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</si>
  <si>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</si>
  <si>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</si>
  <si>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</si>
  <si>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</si>
  <si>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</si>
  <si>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</si>
  <si>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</si>
  <si>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</si>
  <si>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</si>
  <si>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</si>
  <si>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</si>
  <si>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</si>
  <si>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</si>
  <si>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</si>
  <si>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</si>
  <si>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</si>
  <si>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</si>
  <si>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</si>
  <si>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</si>
  <si>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</si>
  <si>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</si>
  <si>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</si>
  <si>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</si>
  <si>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</si>
  <si>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</si>
  <si>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</si>
  <si>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</si>
  <si>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</si>
  <si>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</si>
  <si>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</si>
  <si>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</si>
  <si>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</si>
  <si>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</si>
  <si>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</si>
  <si>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</si>
  <si>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</si>
  <si>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</si>
  <si>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</si>
  <si>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</si>
  <si>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</si>
  <si>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</si>
  <si>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</si>
  <si>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</si>
  <si>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</si>
  <si>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</si>
  <si>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</si>
  <si>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</si>
  <si>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</si>
  <si>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</si>
  <si>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</si>
  <si>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</si>
  <si>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</si>
  <si>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</si>
  <si>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</si>
  <si>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</si>
  <si>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</si>
  <si>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</si>
  <si>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</si>
  <si>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</si>
  <si>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</si>
  <si>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</si>
  <si>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</si>
  <si>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</si>
  <si>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</si>
  <si>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</si>
  <si>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</si>
  <si>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</si>
  <si>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</si>
  <si>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</si>
  <si>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</si>
  <si>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</si>
  <si>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</si>
  <si>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</si>
  <si>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</si>
  <si>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</si>
  <si>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</si>
  <si>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</si>
  <si>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</si>
  <si>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</si>
  <si>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</si>
  <si>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</si>
  <si>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</si>
  <si>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</si>
  <si>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</si>
  <si>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</si>
  <si>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</si>
  <si>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</si>
  <si>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</si>
  <si>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</si>
  <si>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</si>
  <si>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</si>
  <si>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</si>
  <si>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</si>
  <si>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</si>
  <si>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</si>
  <si>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</si>
  <si>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</si>
  <si>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</si>
  <si>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</si>
  <si>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</si>
  <si>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</si>
  <si>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</si>
  <si>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</si>
  <si>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</si>
  <si>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</si>
  <si>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</si>
  <si>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</si>
  <si>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</si>
  <si>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</si>
  <si>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</si>
  <si>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</si>
  <si>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</si>
  <si>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</si>
  <si>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</si>
  <si>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</si>
  <si>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</si>
  <si>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</si>
  <si>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</si>
  <si>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</si>
  <si>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</si>
  <si>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</si>
  <si>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</si>
  <si>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</si>
  <si>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</si>
  <si>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</si>
  <si>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</si>
  <si>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</si>
  <si>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</si>
  <si>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</si>
  <si>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</si>
  <si>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</si>
  <si>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</si>
  <si>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</si>
  <si>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</si>
  <si>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</si>
  <si>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</si>
  <si>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</si>
  <si>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</si>
  <si>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</si>
  <si>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</si>
  <si>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</si>
  <si>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</si>
  <si>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</si>
  <si>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</si>
  <si>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</si>
  <si>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</si>
  <si>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</si>
  <si>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</si>
  <si>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</si>
  <si>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</si>
  <si>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</si>
  <si>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</si>
  <si>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</si>
  <si>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</si>
  <si>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</si>
  <si>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</si>
  <si>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</si>
  <si>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</si>
  <si>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</si>
  <si>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</si>
  <si>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</si>
  <si>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</si>
  <si>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</si>
  <si>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</si>
  <si>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</si>
  <si>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</si>
  <si>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</si>
  <si>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</si>
  <si>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</si>
  <si>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</si>
  <si>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</si>
  <si>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</si>
  <si>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</si>
  <si>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</si>
  <si>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</si>
  <si>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</si>
  <si>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</si>
  <si>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</si>
  <si>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</si>
  <si>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</si>
  <si>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</si>
  <si>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</si>
  <si>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</si>
  <si>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</si>
  <si>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</si>
  <si>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</si>
  <si>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</si>
  <si>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</si>
  <si>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</si>
  <si>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</si>
  <si>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</si>
  <si>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</si>
  <si>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</si>
  <si>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</si>
  <si>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</si>
  <si>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</si>
  <si>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</si>
  <si>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</si>
  <si>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</si>
  <si>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</si>
  <si>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</si>
  <si>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</si>
  <si>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</si>
  <si>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</si>
  <si>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</si>
  <si>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</si>
  <si>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</si>
  <si>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</si>
  <si>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</si>
  <si>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</si>
  <si>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</si>
  <si>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</si>
  <si>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</si>
  <si>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</si>
  <si>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</si>
  <si>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</si>
  <si>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</si>
  <si>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</si>
  <si>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</si>
  <si>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</si>
  <si>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</si>
  <si>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</si>
  <si>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</si>
  <si>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</si>
  <si>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</si>
  <si>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</si>
  <si>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</si>
  <si>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</si>
  <si>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</si>
  <si>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</si>
  <si>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</si>
  <si>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</si>
  <si>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</si>
  <si>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</si>
  <si>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</si>
  <si>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</si>
  <si>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</si>
  <si>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</si>
  <si>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</si>
  <si>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</si>
  <si>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</si>
  <si>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</si>
  <si>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</si>
  <si>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</si>
  <si>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</si>
  <si>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</si>
  <si>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</si>
  <si>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</si>
  <si>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</si>
  <si>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</si>
  <si>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</si>
  <si>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</si>
  <si>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</si>
  <si>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</si>
  <si>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</si>
  <si>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</si>
  <si>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</si>
  <si>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</si>
  <si>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</si>
  <si>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</si>
  <si>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</si>
  <si>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</si>
  <si>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</si>
  <si>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</si>
  <si>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</si>
  <si>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</si>
  <si>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</si>
  <si>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</si>
  <si>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</si>
  <si>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</si>
  <si>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</si>
  <si>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</si>
  <si>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</si>
  <si>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</si>
  <si>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</si>
  <si>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</si>
  <si>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</si>
  <si>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</si>
  <si>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</si>
  <si>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</si>
  <si>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</si>
  <si>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</si>
  <si>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</si>
  <si>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</si>
  <si>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</si>
  <si>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</si>
  <si>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</si>
  <si>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</si>
  <si>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</si>
  <si>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</si>
  <si>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</si>
  <si>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</si>
  <si>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</si>
  <si>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</si>
  <si>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</si>
  <si>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</si>
  <si>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</si>
  <si>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</si>
  <si>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</si>
  <si>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</si>
  <si>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</si>
  <si>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</si>
  <si>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</si>
  <si>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</si>
  <si>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</si>
  <si>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</si>
  <si>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</si>
  <si>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</si>
  <si>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</si>
  <si>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</si>
  <si>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</si>
  <si>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</si>
  <si>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</si>
  <si>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</si>
  <si>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</si>
  <si>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</si>
  <si>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</si>
  <si>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</si>
  <si>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</si>
  <si>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</si>
  <si>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</si>
  <si>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</si>
  <si>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</si>
  <si>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</si>
  <si>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</si>
  <si>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</si>
  <si>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</si>
  <si>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</si>
  <si>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</si>
  <si>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</si>
  <si>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</si>
  <si>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</si>
  <si>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</si>
  <si>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</si>
  <si>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</si>
  <si>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</si>
  <si>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</si>
  <si>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</si>
  <si>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</si>
  <si>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</si>
  <si>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</si>
  <si>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</si>
  <si>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</si>
  <si>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</si>
  <si>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</si>
  <si>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</si>
  <si>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</si>
  <si>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</si>
  <si>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</si>
  <si>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</si>
  <si>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</si>
  <si>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</si>
  <si>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</si>
  <si>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</si>
  <si>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</si>
  <si>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</si>
  <si>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</si>
  <si>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</si>
  <si>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</si>
  <si>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</si>
  <si>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</si>
  <si>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</si>
  <si>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</si>
  <si>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</si>
  <si>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</si>
  <si>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</si>
  <si>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</si>
  <si>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</si>
  <si>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</si>
  <si>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</si>
  <si>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</si>
  <si>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</si>
  <si>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</si>
  <si>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</si>
  <si>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</si>
  <si>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</si>
  <si>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</si>
  <si>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</si>
  <si>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</si>
  <si>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</si>
  <si>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</si>
  <si>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</si>
  <si>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</si>
  <si>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</si>
  <si>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</si>
  <si>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</si>
  <si>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</si>
  <si>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</si>
  <si>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</si>
  <si>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</si>
  <si>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</si>
  <si>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</si>
  <si>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</si>
  <si>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</si>
  <si>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</si>
  <si>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</si>
  <si>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</si>
  <si>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</si>
  <si>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</si>
  <si>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</si>
  <si>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</si>
  <si>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</si>
  <si>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</si>
  <si>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</si>
  <si>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</si>
  <si>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</si>
  <si>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</si>
  <si>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</si>
  <si>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</si>
  <si>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</si>
  <si>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</si>
  <si>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</si>
  <si>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</si>
  <si>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</si>
  <si>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</si>
  <si>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</si>
  <si>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</si>
  <si>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</si>
  <si>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</si>
  <si>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</si>
  <si>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</si>
  <si>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</si>
  <si>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</si>
  <si>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</si>
  <si>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</si>
  <si>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</si>
  <si>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</si>
  <si>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</si>
  <si>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</si>
  <si>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</si>
  <si>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</si>
  <si>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</si>
  <si>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</si>
  <si>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</si>
  <si>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</si>
  <si>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</si>
  <si>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</si>
  <si>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</si>
  <si>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</si>
  <si>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</si>
  <si>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</si>
  <si>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</si>
  <si>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</si>
  <si>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</si>
  <si>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</si>
  <si>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</si>
  <si>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</si>
  <si>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</si>
  <si>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</si>
  <si>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</si>
  <si>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</si>
  <si>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</si>
  <si>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</si>
  <si>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</si>
  <si>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</si>
  <si>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</si>
  <si>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</si>
  <si>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</si>
  <si>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</si>
  <si>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</si>
  <si>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</si>
  <si>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</si>
  <si>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</si>
  <si>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</si>
  <si>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</si>
  <si>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</si>
  <si>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</si>
  <si>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</si>
  <si>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</si>
  <si>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</si>
  <si>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</si>
  <si>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</si>
  <si>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</si>
  <si>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</si>
  <si>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</si>
  <si>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</si>
  <si>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</si>
  <si>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</si>
  <si>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</si>
  <si>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</si>
  <si>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</si>
  <si>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</si>
  <si>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</si>
  <si>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</si>
  <si>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</si>
  <si>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</si>
  <si>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</si>
  <si>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</si>
  <si>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</si>
  <si>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</si>
  <si>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</si>
  <si>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</si>
  <si>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</si>
  <si>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</si>
  <si>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</si>
  <si>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</si>
  <si>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</si>
  <si>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</si>
  <si>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</si>
  <si>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</si>
  <si>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</si>
  <si>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</si>
  <si>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</si>
  <si>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</si>
  <si>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</si>
  <si>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</si>
  <si>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</si>
  <si>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</si>
  <si>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</si>
  <si>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</si>
  <si>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</si>
  <si>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</si>
  <si>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</si>
  <si>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</si>
  <si>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</si>
  <si>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</si>
  <si>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</si>
  <si>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</si>
  <si>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</si>
  <si>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</si>
  <si>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</si>
  <si>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</si>
  <si>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</si>
  <si>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</si>
  <si>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</si>
  <si>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</si>
  <si>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</si>
  <si>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</si>
  <si>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</si>
  <si>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</si>
  <si>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</si>
  <si>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</si>
  <si>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</si>
  <si>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</si>
  <si>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</si>
  <si>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</si>
  <si>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</si>
  <si>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</si>
  <si>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</si>
  <si>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</si>
  <si>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</si>
  <si>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</si>
  <si>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</si>
  <si>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</si>
  <si>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</si>
  <si>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</si>
  <si>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</si>
  <si>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</si>
  <si>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</si>
  <si>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</si>
  <si>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</si>
  <si>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</si>
  <si>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</si>
  <si>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</si>
  <si>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</si>
  <si>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</si>
  <si>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</si>
  <si>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</si>
  <si>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</si>
  <si>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</si>
  <si>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</si>
  <si>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</si>
  <si>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</si>
  <si>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</si>
  <si>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</si>
  <si>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</si>
  <si>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</si>
  <si>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</si>
  <si>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</si>
  <si>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</si>
  <si>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</si>
  <si>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</si>
  <si>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</si>
  <si>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</si>
  <si>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</si>
  <si>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</si>
  <si>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</si>
  <si>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</si>
  <si>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</si>
  <si>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</si>
  <si>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</si>
  <si>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</si>
  <si>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</si>
  <si>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</si>
  <si>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</si>
  <si>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</si>
  <si>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</si>
  <si>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</si>
  <si>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</si>
  <si>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</si>
  <si>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</si>
  <si>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</si>
  <si>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</si>
  <si>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</si>
  <si>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</si>
  <si>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</si>
  <si>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</si>
  <si>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</si>
  <si>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</si>
  <si>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</si>
  <si>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</si>
  <si>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</si>
  <si>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</si>
  <si>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</si>
  <si>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</si>
  <si>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</si>
  <si>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</si>
  <si>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</si>
  <si>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</si>
  <si>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</si>
  <si>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</si>
  <si>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</si>
  <si>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</si>
  <si>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</si>
  <si>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</si>
  <si>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</si>
  <si>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</si>
  <si>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</si>
  <si>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</si>
  <si>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</si>
  <si>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</si>
  <si>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</si>
  <si>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</si>
  <si>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</si>
  <si>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</si>
  <si>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</si>
  <si>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</si>
  <si>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</si>
  <si>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</si>
  <si>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</si>
  <si>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</si>
  <si>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</si>
  <si>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</si>
  <si>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</si>
  <si>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</si>
  <si>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</si>
  <si>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</si>
  <si>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</si>
  <si>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</si>
  <si>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</si>
  <si>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</si>
  <si>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</si>
  <si>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</si>
  <si>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</si>
  <si>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</si>
  <si>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</si>
  <si>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</si>
  <si>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</si>
  <si>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</si>
  <si>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</si>
  <si>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</si>
  <si>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</si>
  <si>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</si>
  <si>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</si>
  <si>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01/01/2023 - 05/13/2026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</si>
  <si>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r>
      <t xml:space="preserve">WARN REPORT - </t>
    </r>
    <r>
      <rPr>
        <b/>
        <sz val="12"/>
        <rFont val="Calibri"/>
        <family val="2"/>
        <scheme val="minor"/>
      </rPr>
      <t>07/01/25 to 05/13/2026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I1371.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</si>
</sst>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71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7734375" defaultRowHeight="14.4" x14ac:dyDescent="0.3"/>
  <cols>
    <col min="1" max="1" width="74" style="3" bestFit="1" customWidth="1"/>
  </cols>
  <sheetData>
    <row r="1" spans="1:1" ht="129.6" x14ac:dyDescent="0.3">
      <c r="A1" s="10" t="s">
        <v>28</v>
      </c>
    </row>
    <row r="2" spans="1:1" ht="21" x14ac:dyDescent="0.4">
      <c r="A2" s="12" t="s">
        <v>20</v>
      </c>
    </row>
    <row r="3" spans="1:1" x14ac:dyDescent="0.3">
      <c r="A3" s="13" t="s">
        <v>18</v>
      </c>
    </row>
    <row r="4" spans="1:1" x14ac:dyDescent="0.3">
      <c r="A4" s="13" t="s">
        <v>19</v>
      </c>
    </row>
    <row r="5" spans="1:1" x14ac:dyDescent="0.3">
      <c r="A5" s="13" t="s">
        <v>23</v>
      </c>
    </row>
    <row r="6" spans="1:1" x14ac:dyDescent="0.3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7734375" defaultRowHeight="14.4" x14ac:dyDescent="0.3"/>
  <cols>
    <col min="1" max="1" width="29.5546875" style="3" customWidth="1"/>
    <col min="2" max="2" width="6.44140625" style="3" bestFit="1" customWidth="1"/>
  </cols>
  <sheetData>
    <row r="1" spans="1:2" ht="75.599999999999994" x14ac:dyDescent="0.3">
      <c r="A1" s="10" t="s">
        <v>21</v>
      </c>
    </row>
    <row r="2" spans="1:2" x14ac:dyDescent="0.3">
      <c r="A2" s="14" t="s">
        <v>16</v>
      </c>
      <c r="B2" s="15" t="s">
        <v>15</v>
      </c>
    </row>
    <row r="3" spans="1:2" x14ac:dyDescent="0.3">
      <c r="A3" s="2" t="s">
        <v>17</v>
      </c>
      <c r="B3" s="11">
        <f>SUM('Detailed WARN Report '!G:G)</f>
        <v>69364</v>
      </c>
    </row>
    <row r="4" spans="1:2" x14ac:dyDescent="0.3">
      <c r="A4" s="2" t="s">
        <v>9</v>
      </c>
      <c r="B4" s="11">
        <f>COUNTIF('Detailed WARN Report '!F:F,"Layoff Permanent")</f>
        <v>908</v>
      </c>
    </row>
    <row r="5" spans="1:2" x14ac:dyDescent="0.3">
      <c r="A5" s="2" t="s">
        <v>10</v>
      </c>
      <c r="B5" s="11">
        <f>COUNTIF('Detailed WARN Report '!F:F,"Layoff Temporary")</f>
        <v>59</v>
      </c>
    </row>
    <row r="6" spans="1:2" x14ac:dyDescent="0.3">
      <c r="A6" s="2" t="s">
        <v>11</v>
      </c>
      <c r="B6" s="11">
        <f>COUNTIF('Detailed WARN Report '!F:F,"Layoff Not known at this time")</f>
        <v>11</v>
      </c>
    </row>
    <row r="7" spans="1:2" x14ac:dyDescent="0.3">
      <c r="A7" s="2" t="s">
        <v>12</v>
      </c>
      <c r="B7" s="11">
        <f>COUNTIF('Detailed WARN Report '!F:F,"Closure Permanent")</f>
        <v>372</v>
      </c>
    </row>
    <row r="8" spans="1:2" x14ac:dyDescent="0.3">
      <c r="A8" s="2" t="s">
        <v>13</v>
      </c>
      <c r="B8" s="11">
        <f>COUNTIF('Detailed WARN Report '!F:F,"Closure Temporary")</f>
        <v>13</v>
      </c>
    </row>
    <row r="9" spans="1:2" x14ac:dyDescent="0.3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371"/>
  <sheetViews>
    <sheetView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8.77734375" style="8" bestFit="1" customWidth="1"/>
    <col min="3" max="3" width="9.77734375" style="8" bestFit="1" customWidth="1"/>
    <col min="4" max="4" width="8.44140625" style="8" bestFit="1" customWidth="1"/>
    <col min="5" max="5" width="54.21875" style="10" bestFit="1" customWidth="1"/>
    <col min="6" max="6" width="22.21875" style="3" customWidth="1"/>
    <col min="7" max="7" width="9.77734375" style="3" customWidth="1"/>
    <col min="8" max="8" width="67.21875" style="3" customWidth="1"/>
    <col min="9" max="9" width="51.77734375" style="3" bestFit="1" customWidth="1"/>
  </cols>
  <sheetData>
    <row r="1" spans="1:9" ht="99.6" x14ac:dyDescent="0.3">
      <c r="A1" s="16" t="s">
        <v>2345</v>
      </c>
      <c r="E1" s="3"/>
    </row>
    <row r="2" spans="1:9" ht="24.6" x14ac:dyDescent="0.3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x14ac:dyDescent="0.3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x14ac:dyDescent="0.3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x14ac:dyDescent="0.3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x14ac:dyDescent="0.3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x14ac:dyDescent="0.3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x14ac:dyDescent="0.3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x14ac:dyDescent="0.3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x14ac:dyDescent="0.3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x14ac:dyDescent="0.3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x14ac:dyDescent="0.3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x14ac:dyDescent="0.3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x14ac:dyDescent="0.3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x14ac:dyDescent="0.3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x14ac:dyDescent="0.3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x14ac:dyDescent="0.3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x14ac:dyDescent="0.3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x14ac:dyDescent="0.3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x14ac:dyDescent="0.3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x14ac:dyDescent="0.3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x14ac:dyDescent="0.3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3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x14ac:dyDescent="0.3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x14ac:dyDescent="0.3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x14ac:dyDescent="0.3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x14ac:dyDescent="0.3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x14ac:dyDescent="0.3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x14ac:dyDescent="0.3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x14ac:dyDescent="0.3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x14ac:dyDescent="0.3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x14ac:dyDescent="0.3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3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x14ac:dyDescent="0.3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x14ac:dyDescent="0.3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3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x14ac:dyDescent="0.3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x14ac:dyDescent="0.3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x14ac:dyDescent="0.3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x14ac:dyDescent="0.3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3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x14ac:dyDescent="0.3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3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x14ac:dyDescent="0.3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x14ac:dyDescent="0.3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x14ac:dyDescent="0.3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x14ac:dyDescent="0.3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x14ac:dyDescent="0.3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x14ac:dyDescent="0.3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x14ac:dyDescent="0.3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x14ac:dyDescent="0.3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x14ac:dyDescent="0.3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x14ac:dyDescent="0.3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x14ac:dyDescent="0.3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x14ac:dyDescent="0.3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x14ac:dyDescent="0.3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x14ac:dyDescent="0.3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x14ac:dyDescent="0.3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x14ac:dyDescent="0.3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x14ac:dyDescent="0.3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x14ac:dyDescent="0.3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x14ac:dyDescent="0.3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x14ac:dyDescent="0.3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x14ac:dyDescent="0.3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x14ac:dyDescent="0.3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x14ac:dyDescent="0.3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x14ac:dyDescent="0.3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x14ac:dyDescent="0.3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x14ac:dyDescent="0.3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x14ac:dyDescent="0.3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x14ac:dyDescent="0.3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x14ac:dyDescent="0.3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x14ac:dyDescent="0.3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x14ac:dyDescent="0.3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x14ac:dyDescent="0.3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x14ac:dyDescent="0.3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3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3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x14ac:dyDescent="0.3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x14ac:dyDescent="0.3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x14ac:dyDescent="0.3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x14ac:dyDescent="0.3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x14ac:dyDescent="0.3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x14ac:dyDescent="0.3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x14ac:dyDescent="0.3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x14ac:dyDescent="0.3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x14ac:dyDescent="0.3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x14ac:dyDescent="0.3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x14ac:dyDescent="0.3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3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x14ac:dyDescent="0.3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x14ac:dyDescent="0.3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3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3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3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3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3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3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3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3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3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x14ac:dyDescent="0.3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3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3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x14ac:dyDescent="0.3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3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3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3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3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3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3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3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3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3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3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3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3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3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3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3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3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3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3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3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x14ac:dyDescent="0.3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x14ac:dyDescent="0.3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3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x14ac:dyDescent="0.3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3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x14ac:dyDescent="0.3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3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x14ac:dyDescent="0.3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x14ac:dyDescent="0.3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x14ac:dyDescent="0.3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3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x14ac:dyDescent="0.3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3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x14ac:dyDescent="0.3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x14ac:dyDescent="0.3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3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x14ac:dyDescent="0.3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x14ac:dyDescent="0.3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x14ac:dyDescent="0.3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x14ac:dyDescent="0.3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x14ac:dyDescent="0.3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x14ac:dyDescent="0.3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x14ac:dyDescent="0.3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x14ac:dyDescent="0.3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x14ac:dyDescent="0.3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x14ac:dyDescent="0.3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x14ac:dyDescent="0.3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x14ac:dyDescent="0.3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3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x14ac:dyDescent="0.3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x14ac:dyDescent="0.3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x14ac:dyDescent="0.3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x14ac:dyDescent="0.3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x14ac:dyDescent="0.3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3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x14ac:dyDescent="0.3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x14ac:dyDescent="0.3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x14ac:dyDescent="0.3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x14ac:dyDescent="0.3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x14ac:dyDescent="0.3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x14ac:dyDescent="0.3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x14ac:dyDescent="0.3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x14ac:dyDescent="0.3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x14ac:dyDescent="0.3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x14ac:dyDescent="0.3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3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x14ac:dyDescent="0.3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3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3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3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x14ac:dyDescent="0.3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3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x14ac:dyDescent="0.3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x14ac:dyDescent="0.3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x14ac:dyDescent="0.3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x14ac:dyDescent="0.3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x14ac:dyDescent="0.3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x14ac:dyDescent="0.3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x14ac:dyDescent="0.3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x14ac:dyDescent="0.3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x14ac:dyDescent="0.3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x14ac:dyDescent="0.3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x14ac:dyDescent="0.3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3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x14ac:dyDescent="0.3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x14ac:dyDescent="0.3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x14ac:dyDescent="0.3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x14ac:dyDescent="0.3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x14ac:dyDescent="0.3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3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x14ac:dyDescent="0.3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x14ac:dyDescent="0.3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x14ac:dyDescent="0.3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x14ac:dyDescent="0.3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x14ac:dyDescent="0.3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x14ac:dyDescent="0.3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x14ac:dyDescent="0.3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3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x14ac:dyDescent="0.3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3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3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x14ac:dyDescent="0.3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x14ac:dyDescent="0.3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3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x14ac:dyDescent="0.3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x14ac:dyDescent="0.3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x14ac:dyDescent="0.3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3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x14ac:dyDescent="0.3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x14ac:dyDescent="0.3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x14ac:dyDescent="0.3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x14ac:dyDescent="0.3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x14ac:dyDescent="0.3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x14ac:dyDescent="0.3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x14ac:dyDescent="0.3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x14ac:dyDescent="0.3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3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x14ac:dyDescent="0.3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x14ac:dyDescent="0.3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x14ac:dyDescent="0.3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x14ac:dyDescent="0.3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x14ac:dyDescent="0.3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x14ac:dyDescent="0.3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x14ac:dyDescent="0.3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3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x14ac:dyDescent="0.3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x14ac:dyDescent="0.3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x14ac:dyDescent="0.3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x14ac:dyDescent="0.3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x14ac:dyDescent="0.3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3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3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3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x14ac:dyDescent="0.3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3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3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3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x14ac:dyDescent="0.3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x14ac:dyDescent="0.3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x14ac:dyDescent="0.3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x14ac:dyDescent="0.3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3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x14ac:dyDescent="0.3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x14ac:dyDescent="0.3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x14ac:dyDescent="0.3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x14ac:dyDescent="0.3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x14ac:dyDescent="0.3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x14ac:dyDescent="0.3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x14ac:dyDescent="0.3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x14ac:dyDescent="0.3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3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x14ac:dyDescent="0.3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x14ac:dyDescent="0.3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x14ac:dyDescent="0.3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x14ac:dyDescent="0.3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x14ac:dyDescent="0.3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x14ac:dyDescent="0.3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x14ac:dyDescent="0.3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x14ac:dyDescent="0.3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x14ac:dyDescent="0.3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x14ac:dyDescent="0.3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x14ac:dyDescent="0.3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x14ac:dyDescent="0.3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3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3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3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3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x14ac:dyDescent="0.3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3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x14ac:dyDescent="0.3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3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x14ac:dyDescent="0.3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x14ac:dyDescent="0.3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x14ac:dyDescent="0.3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x14ac:dyDescent="0.3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x14ac:dyDescent="0.3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x14ac:dyDescent="0.3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x14ac:dyDescent="0.3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x14ac:dyDescent="0.3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x14ac:dyDescent="0.3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x14ac:dyDescent="0.3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x14ac:dyDescent="0.3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x14ac:dyDescent="0.3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x14ac:dyDescent="0.3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x14ac:dyDescent="0.3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x14ac:dyDescent="0.3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x14ac:dyDescent="0.3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x14ac:dyDescent="0.3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x14ac:dyDescent="0.3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3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x14ac:dyDescent="0.3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3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3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3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x14ac:dyDescent="0.3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3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3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x14ac:dyDescent="0.3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x14ac:dyDescent="0.3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x14ac:dyDescent="0.3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x14ac:dyDescent="0.3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x14ac:dyDescent="0.3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3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3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3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x14ac:dyDescent="0.3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x14ac:dyDescent="0.3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x14ac:dyDescent="0.3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x14ac:dyDescent="0.3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x14ac:dyDescent="0.3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x14ac:dyDescent="0.3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x14ac:dyDescent="0.3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3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x14ac:dyDescent="0.3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x14ac:dyDescent="0.3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x14ac:dyDescent="0.3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x14ac:dyDescent="0.3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x14ac:dyDescent="0.3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x14ac:dyDescent="0.3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x14ac:dyDescent="0.3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x14ac:dyDescent="0.3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x14ac:dyDescent="0.3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x14ac:dyDescent="0.3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x14ac:dyDescent="0.3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x14ac:dyDescent="0.3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x14ac:dyDescent="0.3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x14ac:dyDescent="0.3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x14ac:dyDescent="0.3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20.399999999999999" x14ac:dyDescent="0.3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x14ac:dyDescent="0.3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3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x14ac:dyDescent="0.3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x14ac:dyDescent="0.3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x14ac:dyDescent="0.3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x14ac:dyDescent="0.3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x14ac:dyDescent="0.3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x14ac:dyDescent="0.3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x14ac:dyDescent="0.3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x14ac:dyDescent="0.3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3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3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3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x14ac:dyDescent="0.3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x14ac:dyDescent="0.3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x14ac:dyDescent="0.3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x14ac:dyDescent="0.3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3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3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3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x14ac:dyDescent="0.3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ht="20.399999999999999" x14ac:dyDescent="0.3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20.399999999999999" x14ac:dyDescent="0.3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x14ac:dyDescent="0.3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x14ac:dyDescent="0.3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x14ac:dyDescent="0.3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x14ac:dyDescent="0.3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ht="20.399999999999999" x14ac:dyDescent="0.3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x14ac:dyDescent="0.3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3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x14ac:dyDescent="0.3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3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x14ac:dyDescent="0.3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3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x14ac:dyDescent="0.3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x14ac:dyDescent="0.3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x14ac:dyDescent="0.3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x14ac:dyDescent="0.3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x14ac:dyDescent="0.3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x14ac:dyDescent="0.3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x14ac:dyDescent="0.3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x14ac:dyDescent="0.3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x14ac:dyDescent="0.3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x14ac:dyDescent="0.3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x14ac:dyDescent="0.3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x14ac:dyDescent="0.3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x14ac:dyDescent="0.3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x14ac:dyDescent="0.3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x14ac:dyDescent="0.3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x14ac:dyDescent="0.3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x14ac:dyDescent="0.3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x14ac:dyDescent="0.3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x14ac:dyDescent="0.3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x14ac:dyDescent="0.3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x14ac:dyDescent="0.3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3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x14ac:dyDescent="0.3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x14ac:dyDescent="0.3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x14ac:dyDescent="0.3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x14ac:dyDescent="0.3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3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x14ac:dyDescent="0.3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x14ac:dyDescent="0.3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x14ac:dyDescent="0.3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x14ac:dyDescent="0.3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x14ac:dyDescent="0.3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x14ac:dyDescent="0.3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x14ac:dyDescent="0.3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x14ac:dyDescent="0.3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x14ac:dyDescent="0.3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3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3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x14ac:dyDescent="0.3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3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x14ac:dyDescent="0.3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x14ac:dyDescent="0.3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x14ac:dyDescent="0.3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x14ac:dyDescent="0.3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x14ac:dyDescent="0.3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x14ac:dyDescent="0.3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x14ac:dyDescent="0.3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x14ac:dyDescent="0.3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x14ac:dyDescent="0.3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x14ac:dyDescent="0.3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x14ac:dyDescent="0.3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x14ac:dyDescent="0.3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x14ac:dyDescent="0.3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x14ac:dyDescent="0.3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x14ac:dyDescent="0.3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x14ac:dyDescent="0.3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x14ac:dyDescent="0.3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x14ac:dyDescent="0.3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x14ac:dyDescent="0.3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x14ac:dyDescent="0.3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x14ac:dyDescent="0.3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x14ac:dyDescent="0.3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x14ac:dyDescent="0.3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x14ac:dyDescent="0.3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x14ac:dyDescent="0.3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x14ac:dyDescent="0.3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x14ac:dyDescent="0.3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x14ac:dyDescent="0.3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x14ac:dyDescent="0.3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3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x14ac:dyDescent="0.3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x14ac:dyDescent="0.3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x14ac:dyDescent="0.3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x14ac:dyDescent="0.3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x14ac:dyDescent="0.3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x14ac:dyDescent="0.3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x14ac:dyDescent="0.3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x14ac:dyDescent="0.3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x14ac:dyDescent="0.3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x14ac:dyDescent="0.3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x14ac:dyDescent="0.3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x14ac:dyDescent="0.3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x14ac:dyDescent="0.3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x14ac:dyDescent="0.3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x14ac:dyDescent="0.3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x14ac:dyDescent="0.3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x14ac:dyDescent="0.3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x14ac:dyDescent="0.3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x14ac:dyDescent="0.3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x14ac:dyDescent="0.3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x14ac:dyDescent="0.3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x14ac:dyDescent="0.3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x14ac:dyDescent="0.3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3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3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x14ac:dyDescent="0.3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x14ac:dyDescent="0.3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3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x14ac:dyDescent="0.3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x14ac:dyDescent="0.3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x14ac:dyDescent="0.3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x14ac:dyDescent="0.3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x14ac:dyDescent="0.3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3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x14ac:dyDescent="0.3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x14ac:dyDescent="0.3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x14ac:dyDescent="0.3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x14ac:dyDescent="0.3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x14ac:dyDescent="0.3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x14ac:dyDescent="0.3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x14ac:dyDescent="0.3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x14ac:dyDescent="0.3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x14ac:dyDescent="0.3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x14ac:dyDescent="0.3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3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3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x14ac:dyDescent="0.3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x14ac:dyDescent="0.3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x14ac:dyDescent="0.3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x14ac:dyDescent="0.3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20.399999999999999" x14ac:dyDescent="0.3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3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x14ac:dyDescent="0.3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x14ac:dyDescent="0.3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x14ac:dyDescent="0.3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x14ac:dyDescent="0.3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3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3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x14ac:dyDescent="0.3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x14ac:dyDescent="0.3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x14ac:dyDescent="0.3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x14ac:dyDescent="0.3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x14ac:dyDescent="0.3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x14ac:dyDescent="0.3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x14ac:dyDescent="0.3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x14ac:dyDescent="0.3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x14ac:dyDescent="0.3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x14ac:dyDescent="0.3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x14ac:dyDescent="0.3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x14ac:dyDescent="0.3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x14ac:dyDescent="0.3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x14ac:dyDescent="0.3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x14ac:dyDescent="0.3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x14ac:dyDescent="0.3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x14ac:dyDescent="0.3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x14ac:dyDescent="0.3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x14ac:dyDescent="0.3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x14ac:dyDescent="0.3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x14ac:dyDescent="0.3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x14ac:dyDescent="0.3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x14ac:dyDescent="0.3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x14ac:dyDescent="0.3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x14ac:dyDescent="0.3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x14ac:dyDescent="0.3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x14ac:dyDescent="0.3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x14ac:dyDescent="0.3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x14ac:dyDescent="0.3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x14ac:dyDescent="0.3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3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3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x14ac:dyDescent="0.3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x14ac:dyDescent="0.3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x14ac:dyDescent="0.3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3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x14ac:dyDescent="0.3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x14ac:dyDescent="0.3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3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3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x14ac:dyDescent="0.3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x14ac:dyDescent="0.3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3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x14ac:dyDescent="0.3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x14ac:dyDescent="0.3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3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3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3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3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3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3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3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3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3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3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3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3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3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3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3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3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3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3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3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3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3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3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3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3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3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3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3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3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3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3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3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3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3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3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3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3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x14ac:dyDescent="0.3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3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3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3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3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3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3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x14ac:dyDescent="0.3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3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3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3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3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3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3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3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3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3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x14ac:dyDescent="0.3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x14ac:dyDescent="0.3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x14ac:dyDescent="0.3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x14ac:dyDescent="0.3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3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3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x14ac:dyDescent="0.3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x14ac:dyDescent="0.3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x14ac:dyDescent="0.3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x14ac:dyDescent="0.3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x14ac:dyDescent="0.3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x14ac:dyDescent="0.3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x14ac:dyDescent="0.3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x14ac:dyDescent="0.3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x14ac:dyDescent="0.3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x14ac:dyDescent="0.3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x14ac:dyDescent="0.3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x14ac:dyDescent="0.3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x14ac:dyDescent="0.3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x14ac:dyDescent="0.3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x14ac:dyDescent="0.3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x14ac:dyDescent="0.3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x14ac:dyDescent="0.3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x14ac:dyDescent="0.3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x14ac:dyDescent="0.3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x14ac:dyDescent="0.3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x14ac:dyDescent="0.3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x14ac:dyDescent="0.3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x14ac:dyDescent="0.3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x14ac:dyDescent="0.3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x14ac:dyDescent="0.3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x14ac:dyDescent="0.3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x14ac:dyDescent="0.3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x14ac:dyDescent="0.3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x14ac:dyDescent="0.3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x14ac:dyDescent="0.3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x14ac:dyDescent="0.3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x14ac:dyDescent="0.3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x14ac:dyDescent="0.3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x14ac:dyDescent="0.3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x14ac:dyDescent="0.3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x14ac:dyDescent="0.3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x14ac:dyDescent="0.3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x14ac:dyDescent="0.3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x14ac:dyDescent="0.3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x14ac:dyDescent="0.3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x14ac:dyDescent="0.3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x14ac:dyDescent="0.3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x14ac:dyDescent="0.3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x14ac:dyDescent="0.3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3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x14ac:dyDescent="0.3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x14ac:dyDescent="0.3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x14ac:dyDescent="0.3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x14ac:dyDescent="0.3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x14ac:dyDescent="0.3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x14ac:dyDescent="0.3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x14ac:dyDescent="0.3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x14ac:dyDescent="0.3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x14ac:dyDescent="0.3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x14ac:dyDescent="0.3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x14ac:dyDescent="0.3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x14ac:dyDescent="0.3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x14ac:dyDescent="0.3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x14ac:dyDescent="0.3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x14ac:dyDescent="0.3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x14ac:dyDescent="0.3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x14ac:dyDescent="0.3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x14ac:dyDescent="0.3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x14ac:dyDescent="0.3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x14ac:dyDescent="0.3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x14ac:dyDescent="0.3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x14ac:dyDescent="0.3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x14ac:dyDescent="0.3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x14ac:dyDescent="0.3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x14ac:dyDescent="0.3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x14ac:dyDescent="0.3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x14ac:dyDescent="0.3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x14ac:dyDescent="0.3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3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3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3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3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3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3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x14ac:dyDescent="0.3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x14ac:dyDescent="0.3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x14ac:dyDescent="0.3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x14ac:dyDescent="0.3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x14ac:dyDescent="0.3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x14ac:dyDescent="0.3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x14ac:dyDescent="0.3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x14ac:dyDescent="0.3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x14ac:dyDescent="0.3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x14ac:dyDescent="0.3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x14ac:dyDescent="0.3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x14ac:dyDescent="0.3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x14ac:dyDescent="0.3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x14ac:dyDescent="0.3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x14ac:dyDescent="0.3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x14ac:dyDescent="0.3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x14ac:dyDescent="0.3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x14ac:dyDescent="0.3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x14ac:dyDescent="0.3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x14ac:dyDescent="0.3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x14ac:dyDescent="0.3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x14ac:dyDescent="0.3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x14ac:dyDescent="0.3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x14ac:dyDescent="0.3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3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x14ac:dyDescent="0.3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x14ac:dyDescent="0.3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x14ac:dyDescent="0.3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x14ac:dyDescent="0.3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x14ac:dyDescent="0.3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x14ac:dyDescent="0.3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x14ac:dyDescent="0.3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x14ac:dyDescent="0.3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x14ac:dyDescent="0.3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x14ac:dyDescent="0.3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x14ac:dyDescent="0.3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x14ac:dyDescent="0.3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x14ac:dyDescent="0.3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x14ac:dyDescent="0.3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x14ac:dyDescent="0.3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3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3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3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x14ac:dyDescent="0.3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x14ac:dyDescent="0.3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x14ac:dyDescent="0.3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x14ac:dyDescent="0.3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3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x14ac:dyDescent="0.3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x14ac:dyDescent="0.3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x14ac:dyDescent="0.3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x14ac:dyDescent="0.3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x14ac:dyDescent="0.3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x14ac:dyDescent="0.3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x14ac:dyDescent="0.3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x14ac:dyDescent="0.3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3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x14ac:dyDescent="0.3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x14ac:dyDescent="0.3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x14ac:dyDescent="0.3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x14ac:dyDescent="0.3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x14ac:dyDescent="0.3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3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x14ac:dyDescent="0.3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3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3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x14ac:dyDescent="0.3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x14ac:dyDescent="0.3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x14ac:dyDescent="0.3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3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3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x14ac:dyDescent="0.3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3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x14ac:dyDescent="0.3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x14ac:dyDescent="0.3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3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x14ac:dyDescent="0.3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x14ac:dyDescent="0.3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x14ac:dyDescent="0.3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x14ac:dyDescent="0.3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x14ac:dyDescent="0.3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x14ac:dyDescent="0.3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x14ac:dyDescent="0.3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3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3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x14ac:dyDescent="0.3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x14ac:dyDescent="0.3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3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x14ac:dyDescent="0.3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x14ac:dyDescent="0.3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x14ac:dyDescent="0.3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x14ac:dyDescent="0.3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x14ac:dyDescent="0.3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x14ac:dyDescent="0.3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3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x14ac:dyDescent="0.3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x14ac:dyDescent="0.3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3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3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3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x14ac:dyDescent="0.3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x14ac:dyDescent="0.3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3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x14ac:dyDescent="0.3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x14ac:dyDescent="0.3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x14ac:dyDescent="0.3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x14ac:dyDescent="0.3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x14ac:dyDescent="0.3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3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3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x14ac:dyDescent="0.3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3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x14ac:dyDescent="0.3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3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3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x14ac:dyDescent="0.3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3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x14ac:dyDescent="0.3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x14ac:dyDescent="0.3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3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3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x14ac:dyDescent="0.3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x14ac:dyDescent="0.3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x14ac:dyDescent="0.3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x14ac:dyDescent="0.3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x14ac:dyDescent="0.3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x14ac:dyDescent="0.3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x14ac:dyDescent="0.3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x14ac:dyDescent="0.3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x14ac:dyDescent="0.3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ht="20.399999999999999" x14ac:dyDescent="0.3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3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x14ac:dyDescent="0.3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x14ac:dyDescent="0.3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x14ac:dyDescent="0.3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x14ac:dyDescent="0.3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x14ac:dyDescent="0.3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3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x14ac:dyDescent="0.3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3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3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x14ac:dyDescent="0.3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3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x14ac:dyDescent="0.3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3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3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3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x14ac:dyDescent="0.3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x14ac:dyDescent="0.3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x14ac:dyDescent="0.3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x14ac:dyDescent="0.3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x14ac:dyDescent="0.3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x14ac:dyDescent="0.3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3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3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3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3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3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x14ac:dyDescent="0.3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3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3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3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x14ac:dyDescent="0.3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x14ac:dyDescent="0.3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x14ac:dyDescent="0.3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x14ac:dyDescent="0.3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x14ac:dyDescent="0.3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x14ac:dyDescent="0.3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3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3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x14ac:dyDescent="0.3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3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x14ac:dyDescent="0.3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x14ac:dyDescent="0.3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x14ac:dyDescent="0.3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x14ac:dyDescent="0.3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x14ac:dyDescent="0.3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x14ac:dyDescent="0.3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x14ac:dyDescent="0.3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x14ac:dyDescent="0.3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x14ac:dyDescent="0.3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x14ac:dyDescent="0.3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x14ac:dyDescent="0.3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x14ac:dyDescent="0.3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x14ac:dyDescent="0.3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x14ac:dyDescent="0.3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3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3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3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3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3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3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3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3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3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3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3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3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3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3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3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3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3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3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3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3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3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3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x14ac:dyDescent="0.3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x14ac:dyDescent="0.3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x14ac:dyDescent="0.3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x14ac:dyDescent="0.3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3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3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x14ac:dyDescent="0.3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3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3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3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x14ac:dyDescent="0.3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x14ac:dyDescent="0.3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x14ac:dyDescent="0.3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3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3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3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3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3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3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3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3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3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3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3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3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3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3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3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3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3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3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3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3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3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3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3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3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3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3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x14ac:dyDescent="0.3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3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3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3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3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3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3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3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x14ac:dyDescent="0.3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x14ac:dyDescent="0.3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3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3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x14ac:dyDescent="0.3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x14ac:dyDescent="0.3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x14ac:dyDescent="0.3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x14ac:dyDescent="0.3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x14ac:dyDescent="0.3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x14ac:dyDescent="0.3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3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x14ac:dyDescent="0.3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x14ac:dyDescent="0.3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3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x14ac:dyDescent="0.3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x14ac:dyDescent="0.3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x14ac:dyDescent="0.3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x14ac:dyDescent="0.3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x14ac:dyDescent="0.3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x14ac:dyDescent="0.3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x14ac:dyDescent="0.3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x14ac:dyDescent="0.3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3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3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x14ac:dyDescent="0.3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x14ac:dyDescent="0.3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x14ac:dyDescent="0.3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x14ac:dyDescent="0.3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x14ac:dyDescent="0.3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x14ac:dyDescent="0.3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3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x14ac:dyDescent="0.3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x14ac:dyDescent="0.3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3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3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x14ac:dyDescent="0.3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x14ac:dyDescent="0.3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x14ac:dyDescent="0.3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3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x14ac:dyDescent="0.3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x14ac:dyDescent="0.3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3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3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x14ac:dyDescent="0.3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x14ac:dyDescent="0.3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x14ac:dyDescent="0.3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x14ac:dyDescent="0.3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x14ac:dyDescent="0.3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x14ac:dyDescent="0.3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x14ac:dyDescent="0.3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x14ac:dyDescent="0.3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x14ac:dyDescent="0.3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3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x14ac:dyDescent="0.3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x14ac:dyDescent="0.3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x14ac:dyDescent="0.3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x14ac:dyDescent="0.3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x14ac:dyDescent="0.3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x14ac:dyDescent="0.3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x14ac:dyDescent="0.3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x14ac:dyDescent="0.3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x14ac:dyDescent="0.3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x14ac:dyDescent="0.3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3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3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3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3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3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3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3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3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3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3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3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3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3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3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3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3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3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3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x14ac:dyDescent="0.3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3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3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3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3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x14ac:dyDescent="0.3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x14ac:dyDescent="0.3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x14ac:dyDescent="0.3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x14ac:dyDescent="0.3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x14ac:dyDescent="0.3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x14ac:dyDescent="0.3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3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x14ac:dyDescent="0.3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x14ac:dyDescent="0.3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3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3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3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3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3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3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x14ac:dyDescent="0.3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x14ac:dyDescent="0.3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x14ac:dyDescent="0.3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x14ac:dyDescent="0.3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x14ac:dyDescent="0.3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x14ac:dyDescent="0.3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x14ac:dyDescent="0.3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3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x14ac:dyDescent="0.3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x14ac:dyDescent="0.3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x14ac:dyDescent="0.3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x14ac:dyDescent="0.3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x14ac:dyDescent="0.3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x14ac:dyDescent="0.3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x14ac:dyDescent="0.3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3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x14ac:dyDescent="0.3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3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3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x14ac:dyDescent="0.3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x14ac:dyDescent="0.3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3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x14ac:dyDescent="0.3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x14ac:dyDescent="0.3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3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3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3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x14ac:dyDescent="0.3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x14ac:dyDescent="0.3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3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3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3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x14ac:dyDescent="0.3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x14ac:dyDescent="0.3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x14ac:dyDescent="0.3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x14ac:dyDescent="0.3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x14ac:dyDescent="0.3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x14ac:dyDescent="0.3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x14ac:dyDescent="0.3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x14ac:dyDescent="0.3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x14ac:dyDescent="0.3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x14ac:dyDescent="0.3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x14ac:dyDescent="0.3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x14ac:dyDescent="0.3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x14ac:dyDescent="0.3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x14ac:dyDescent="0.3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x14ac:dyDescent="0.3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x14ac:dyDescent="0.3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x14ac:dyDescent="0.3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x14ac:dyDescent="0.3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x14ac:dyDescent="0.3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x14ac:dyDescent="0.3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x14ac:dyDescent="0.3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x14ac:dyDescent="0.3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x14ac:dyDescent="0.3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x14ac:dyDescent="0.3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x14ac:dyDescent="0.3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x14ac:dyDescent="0.3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x14ac:dyDescent="0.3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x14ac:dyDescent="0.3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x14ac:dyDescent="0.3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x14ac:dyDescent="0.3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x14ac:dyDescent="0.3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x14ac:dyDescent="0.3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x14ac:dyDescent="0.3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x14ac:dyDescent="0.3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x14ac:dyDescent="0.3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x14ac:dyDescent="0.3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x14ac:dyDescent="0.3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x14ac:dyDescent="0.3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x14ac:dyDescent="0.3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x14ac:dyDescent="0.3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x14ac:dyDescent="0.3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x14ac:dyDescent="0.3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x14ac:dyDescent="0.3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x14ac:dyDescent="0.3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x14ac:dyDescent="0.3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x14ac:dyDescent="0.3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x14ac:dyDescent="0.3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x14ac:dyDescent="0.3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x14ac:dyDescent="0.3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x14ac:dyDescent="0.3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x14ac:dyDescent="0.3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x14ac:dyDescent="0.3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x14ac:dyDescent="0.3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x14ac:dyDescent="0.3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x14ac:dyDescent="0.3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x14ac:dyDescent="0.3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x14ac:dyDescent="0.3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3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x14ac:dyDescent="0.3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3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3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3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3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x14ac:dyDescent="0.3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x14ac:dyDescent="0.3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x14ac:dyDescent="0.3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3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x14ac:dyDescent="0.3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3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x14ac:dyDescent="0.3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3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x14ac:dyDescent="0.3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x14ac:dyDescent="0.3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x14ac:dyDescent="0.3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x14ac:dyDescent="0.3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3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3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x14ac:dyDescent="0.3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x14ac:dyDescent="0.3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x14ac:dyDescent="0.3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x14ac:dyDescent="0.3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x14ac:dyDescent="0.3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x14ac:dyDescent="0.3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x14ac:dyDescent="0.3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x14ac:dyDescent="0.3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x14ac:dyDescent="0.3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x14ac:dyDescent="0.3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x14ac:dyDescent="0.3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x14ac:dyDescent="0.3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x14ac:dyDescent="0.3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x14ac:dyDescent="0.3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x14ac:dyDescent="0.3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x14ac:dyDescent="0.3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x14ac:dyDescent="0.3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x14ac:dyDescent="0.3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x14ac:dyDescent="0.3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x14ac:dyDescent="0.3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x14ac:dyDescent="0.3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x14ac:dyDescent="0.3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x14ac:dyDescent="0.3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x14ac:dyDescent="0.3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x14ac:dyDescent="0.3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x14ac:dyDescent="0.3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x14ac:dyDescent="0.3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x14ac:dyDescent="0.3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3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x14ac:dyDescent="0.3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3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3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3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3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3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x14ac:dyDescent="0.3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x14ac:dyDescent="0.3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x14ac:dyDescent="0.3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x14ac:dyDescent="0.3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x14ac:dyDescent="0.3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x14ac:dyDescent="0.3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x14ac:dyDescent="0.3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x14ac:dyDescent="0.3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3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x14ac:dyDescent="0.3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x14ac:dyDescent="0.3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x14ac:dyDescent="0.3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x14ac:dyDescent="0.3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x14ac:dyDescent="0.3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x14ac:dyDescent="0.3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x14ac:dyDescent="0.3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x14ac:dyDescent="0.3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x14ac:dyDescent="0.3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x14ac:dyDescent="0.3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x14ac:dyDescent="0.3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20.399999999999999" x14ac:dyDescent="0.3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x14ac:dyDescent="0.3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x14ac:dyDescent="0.3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3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x14ac:dyDescent="0.3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x14ac:dyDescent="0.3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x14ac:dyDescent="0.3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x14ac:dyDescent="0.3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x14ac:dyDescent="0.3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x14ac:dyDescent="0.3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x14ac:dyDescent="0.3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x14ac:dyDescent="0.3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x14ac:dyDescent="0.3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x14ac:dyDescent="0.3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x14ac:dyDescent="0.3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x14ac:dyDescent="0.3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3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3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3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x14ac:dyDescent="0.3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x14ac:dyDescent="0.3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x14ac:dyDescent="0.3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x14ac:dyDescent="0.3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x14ac:dyDescent="0.3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x14ac:dyDescent="0.3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x14ac:dyDescent="0.3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x14ac:dyDescent="0.3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x14ac:dyDescent="0.3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3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3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x14ac:dyDescent="0.3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x14ac:dyDescent="0.3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x14ac:dyDescent="0.3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x14ac:dyDescent="0.3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x14ac:dyDescent="0.3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x14ac:dyDescent="0.3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x14ac:dyDescent="0.3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x14ac:dyDescent="0.3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x14ac:dyDescent="0.3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x14ac:dyDescent="0.3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x14ac:dyDescent="0.3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x14ac:dyDescent="0.3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x14ac:dyDescent="0.3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x14ac:dyDescent="0.3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x14ac:dyDescent="0.3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x14ac:dyDescent="0.3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x14ac:dyDescent="0.3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3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3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3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3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x14ac:dyDescent="0.3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x14ac:dyDescent="0.3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x14ac:dyDescent="0.3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x14ac:dyDescent="0.3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x14ac:dyDescent="0.3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x14ac:dyDescent="0.3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3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3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x14ac:dyDescent="0.3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3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3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x14ac:dyDescent="0.3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x14ac:dyDescent="0.3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3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x14ac:dyDescent="0.3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x14ac:dyDescent="0.3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x14ac:dyDescent="0.3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3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x14ac:dyDescent="0.3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x14ac:dyDescent="0.3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x14ac:dyDescent="0.3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x14ac:dyDescent="0.3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x14ac:dyDescent="0.3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x14ac:dyDescent="0.3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x14ac:dyDescent="0.3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x14ac:dyDescent="0.3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x14ac:dyDescent="0.3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x14ac:dyDescent="0.3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x14ac:dyDescent="0.3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x14ac:dyDescent="0.3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x14ac:dyDescent="0.3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x14ac:dyDescent="0.3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x14ac:dyDescent="0.3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x14ac:dyDescent="0.3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x14ac:dyDescent="0.3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x14ac:dyDescent="0.3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x14ac:dyDescent="0.3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x14ac:dyDescent="0.3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x14ac:dyDescent="0.3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x14ac:dyDescent="0.3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3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x14ac:dyDescent="0.3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x14ac:dyDescent="0.3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3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x14ac:dyDescent="0.3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x14ac:dyDescent="0.3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x14ac:dyDescent="0.3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x14ac:dyDescent="0.3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x14ac:dyDescent="0.3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3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x14ac:dyDescent="0.3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3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3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x14ac:dyDescent="0.3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x14ac:dyDescent="0.3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x14ac:dyDescent="0.3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3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x14ac:dyDescent="0.3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3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x14ac:dyDescent="0.3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x14ac:dyDescent="0.3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3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x14ac:dyDescent="0.3">
      <c r="A1313" s="29" t="s">
        <v>74</v>
      </c>
      <c r="B1313" s="30">
        <v>46139</v>
      </c>
      <c r="C1313" s="30">
        <v>46139</v>
      </c>
      <c r="D1313" s="30">
        <v>46201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3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3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3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x14ac:dyDescent="0.3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3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x14ac:dyDescent="0.3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x14ac:dyDescent="0.3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x14ac:dyDescent="0.3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x14ac:dyDescent="0.3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x14ac:dyDescent="0.3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x14ac:dyDescent="0.3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3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x14ac:dyDescent="0.3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x14ac:dyDescent="0.3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x14ac:dyDescent="0.3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x14ac:dyDescent="0.3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x14ac:dyDescent="0.3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3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x14ac:dyDescent="0.3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3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3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3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x14ac:dyDescent="0.3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x14ac:dyDescent="0.3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x14ac:dyDescent="0.3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x14ac:dyDescent="0.3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x14ac:dyDescent="0.3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x14ac:dyDescent="0.3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x14ac:dyDescent="0.3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x14ac:dyDescent="0.3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x14ac:dyDescent="0.3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x14ac:dyDescent="0.3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x14ac:dyDescent="0.3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x14ac:dyDescent="0.3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3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3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2300</v>
      </c>
      <c r="F1349" s="29" t="s">
        <v>6</v>
      </c>
      <c r="G1349" s="31">
        <v>238</v>
      </c>
      <c r="H1349" s="31" t="s">
        <v>2301</v>
      </c>
      <c r="I1349" s="28" t="s">
        <v>37</v>
      </c>
    </row>
    <row r="1350" spans="1:9" x14ac:dyDescent="0.3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2302</v>
      </c>
      <c r="I1350" s="28" t="s">
        <v>47</v>
      </c>
    </row>
    <row r="1351" spans="1:9" x14ac:dyDescent="0.3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2303</v>
      </c>
      <c r="I1351" s="28" t="s">
        <v>43</v>
      </c>
    </row>
    <row r="1352" spans="1:9" x14ac:dyDescent="0.3">
      <c r="A1352" s="29" t="s">
        <v>5</v>
      </c>
      <c r="B1352" s="30">
        <v>46148</v>
      </c>
      <c r="C1352" s="30">
        <v>46149</v>
      </c>
      <c r="D1352" s="30">
        <v>46209</v>
      </c>
      <c r="E1352" s="29" t="s">
        <v>2304</v>
      </c>
      <c r="F1352" s="29" t="s">
        <v>54</v>
      </c>
      <c r="G1352" s="31">
        <v>71</v>
      </c>
      <c r="H1352" s="31" t="s">
        <v>2305</v>
      </c>
      <c r="I1352" s="28" t="s">
        <v>46</v>
      </c>
    </row>
    <row r="1353" spans="1:9" x14ac:dyDescent="0.3">
      <c r="A1353" s="29" t="s">
        <v>71</v>
      </c>
      <c r="B1353" s="30">
        <v>46149</v>
      </c>
      <c r="C1353" s="30">
        <v>46149</v>
      </c>
      <c r="D1353" s="30">
        <v>46214</v>
      </c>
      <c r="E1353" s="29" t="s">
        <v>2306</v>
      </c>
      <c r="F1353" s="29" t="s">
        <v>107</v>
      </c>
      <c r="G1353" s="31">
        <v>98</v>
      </c>
      <c r="H1353" s="31" t="s">
        <v>2307</v>
      </c>
      <c r="I1353" s="28" t="s">
        <v>47</v>
      </c>
    </row>
    <row r="1354" spans="1:9" x14ac:dyDescent="0.3">
      <c r="A1354" s="29" t="s">
        <v>796</v>
      </c>
      <c r="B1354" s="30">
        <v>46149</v>
      </c>
      <c r="C1354" s="30">
        <v>46149</v>
      </c>
      <c r="D1354" s="30">
        <v>46213</v>
      </c>
      <c r="E1354" s="29" t="s">
        <v>2308</v>
      </c>
      <c r="F1354" s="29" t="s">
        <v>54</v>
      </c>
      <c r="G1354" s="31">
        <v>185</v>
      </c>
      <c r="H1354" s="31" t="s">
        <v>2309</v>
      </c>
      <c r="I1354" s="28" t="s">
        <v>30</v>
      </c>
    </row>
    <row r="1355" spans="1:9" x14ac:dyDescent="0.3">
      <c r="A1355" s="29" t="s">
        <v>94</v>
      </c>
      <c r="B1355" s="30">
        <v>46149</v>
      </c>
      <c r="C1355" s="30">
        <v>46150</v>
      </c>
      <c r="D1355" s="30">
        <v>46157</v>
      </c>
      <c r="E1355" s="29" t="s">
        <v>2327</v>
      </c>
      <c r="F1355" s="29" t="s">
        <v>6</v>
      </c>
      <c r="G1355" s="31">
        <v>224</v>
      </c>
      <c r="H1355" s="31" t="s">
        <v>2310</v>
      </c>
      <c r="I1355" s="28" t="s">
        <v>41</v>
      </c>
    </row>
    <row r="1356" spans="1:9" x14ac:dyDescent="0.3">
      <c r="A1356" s="29" t="s">
        <v>5</v>
      </c>
      <c r="B1356" s="30">
        <v>46149</v>
      </c>
      <c r="C1356" s="30">
        <v>46150</v>
      </c>
      <c r="D1356" s="30">
        <v>46209</v>
      </c>
      <c r="E1356" s="29" t="s">
        <v>2311</v>
      </c>
      <c r="F1356" s="29" t="s">
        <v>54</v>
      </c>
      <c r="G1356" s="31">
        <v>72</v>
      </c>
      <c r="H1356" s="31" t="s">
        <v>2312</v>
      </c>
      <c r="I1356" s="28" t="s">
        <v>41</v>
      </c>
    </row>
    <row r="1357" spans="1:9" x14ac:dyDescent="0.3">
      <c r="A1357" s="29" t="s">
        <v>311</v>
      </c>
      <c r="B1357" s="30">
        <v>46150</v>
      </c>
      <c r="C1357" s="30">
        <v>46150</v>
      </c>
      <c r="D1357" s="30">
        <v>46213</v>
      </c>
      <c r="E1357" s="29" t="s">
        <v>2313</v>
      </c>
      <c r="F1357" s="29" t="s">
        <v>54</v>
      </c>
      <c r="G1357" s="31">
        <v>85</v>
      </c>
      <c r="H1357" s="31" t="s">
        <v>2314</v>
      </c>
      <c r="I1357" s="28" t="s">
        <v>34</v>
      </c>
    </row>
    <row r="1358" spans="1:9" x14ac:dyDescent="0.3">
      <c r="A1358" s="29" t="s">
        <v>5</v>
      </c>
      <c r="B1358" s="30">
        <v>46139</v>
      </c>
      <c r="C1358" s="30">
        <v>46153</v>
      </c>
      <c r="D1358" s="30">
        <v>46203</v>
      </c>
      <c r="E1358" s="29" t="s">
        <v>2315</v>
      </c>
      <c r="F1358" s="29" t="s">
        <v>6</v>
      </c>
      <c r="G1358" s="31">
        <v>20</v>
      </c>
      <c r="H1358" s="31" t="s">
        <v>2316</v>
      </c>
      <c r="I1358" s="28" t="s">
        <v>45</v>
      </c>
    </row>
    <row r="1359" spans="1:9" x14ac:dyDescent="0.3">
      <c r="A1359" s="29" t="s">
        <v>5</v>
      </c>
      <c r="B1359" s="30">
        <v>46139</v>
      </c>
      <c r="C1359" s="30">
        <v>46153</v>
      </c>
      <c r="D1359" s="30">
        <v>46203</v>
      </c>
      <c r="E1359" s="29" t="s">
        <v>2317</v>
      </c>
      <c r="F1359" s="29" t="s">
        <v>6</v>
      </c>
      <c r="G1359" s="31">
        <v>5</v>
      </c>
      <c r="H1359" s="31" t="s">
        <v>2318</v>
      </c>
      <c r="I1359" s="28" t="s">
        <v>45</v>
      </c>
    </row>
    <row r="1360" spans="1:9" x14ac:dyDescent="0.3">
      <c r="A1360" s="29" t="s">
        <v>5</v>
      </c>
      <c r="B1360" s="30">
        <v>46139</v>
      </c>
      <c r="C1360" s="30">
        <v>46153</v>
      </c>
      <c r="D1360" s="30">
        <v>46203</v>
      </c>
      <c r="E1360" s="29" t="s">
        <v>2319</v>
      </c>
      <c r="F1360" s="29" t="s">
        <v>6</v>
      </c>
      <c r="G1360" s="31">
        <v>15</v>
      </c>
      <c r="H1360" s="31" t="s">
        <v>2320</v>
      </c>
      <c r="I1360" s="28" t="s">
        <v>45</v>
      </c>
    </row>
    <row r="1361" spans="1:9" x14ac:dyDescent="0.3">
      <c r="A1361" s="29" t="s">
        <v>5</v>
      </c>
      <c r="B1361" s="30">
        <v>46139</v>
      </c>
      <c r="C1361" s="30">
        <v>46153</v>
      </c>
      <c r="D1361" s="30">
        <v>46203</v>
      </c>
      <c r="E1361" s="29" t="s">
        <v>2321</v>
      </c>
      <c r="F1361" s="29" t="s">
        <v>6</v>
      </c>
      <c r="G1361" s="31">
        <v>5</v>
      </c>
      <c r="H1361" s="31" t="s">
        <v>2322</v>
      </c>
      <c r="I1361" s="28" t="s">
        <v>45</v>
      </c>
    </row>
    <row r="1362" spans="1:9" x14ac:dyDescent="0.3">
      <c r="A1362" s="29" t="s">
        <v>5</v>
      </c>
      <c r="B1362" s="30">
        <v>46139</v>
      </c>
      <c r="C1362" s="30">
        <v>46153</v>
      </c>
      <c r="D1362" s="30">
        <v>46203</v>
      </c>
      <c r="E1362" s="29" t="s">
        <v>2323</v>
      </c>
      <c r="F1362" s="29" t="s">
        <v>6</v>
      </c>
      <c r="G1362" s="31">
        <v>3</v>
      </c>
      <c r="H1362" s="31" t="s">
        <v>2324</v>
      </c>
      <c r="I1362" s="28" t="s">
        <v>45</v>
      </c>
    </row>
    <row r="1363" spans="1:9" x14ac:dyDescent="0.3">
      <c r="A1363" s="29" t="s">
        <v>278</v>
      </c>
      <c r="B1363" s="30">
        <v>46141</v>
      </c>
      <c r="C1363" s="30">
        <v>46153</v>
      </c>
      <c r="D1363" s="30">
        <v>46203</v>
      </c>
      <c r="E1363" s="29" t="s">
        <v>2325</v>
      </c>
      <c r="F1363" s="29" t="s">
        <v>54</v>
      </c>
      <c r="G1363" s="31">
        <v>126</v>
      </c>
      <c r="H1363" s="31" t="s">
        <v>2326</v>
      </c>
      <c r="I1363" s="28" t="s">
        <v>37</v>
      </c>
    </row>
    <row r="1364" spans="1:9" x14ac:dyDescent="0.3">
      <c r="A1364" s="29" t="s">
        <v>52</v>
      </c>
      <c r="B1364" s="30">
        <v>46148</v>
      </c>
      <c r="C1364" s="30">
        <v>46154</v>
      </c>
      <c r="D1364" s="30">
        <v>46204</v>
      </c>
      <c r="E1364" s="29" t="s">
        <v>2328</v>
      </c>
      <c r="F1364" s="29" t="s">
        <v>6</v>
      </c>
      <c r="G1364" s="31">
        <v>59</v>
      </c>
      <c r="H1364" s="31" t="s">
        <v>2329</v>
      </c>
      <c r="I1364" s="28" t="s">
        <v>45</v>
      </c>
    </row>
    <row r="1365" spans="1:9" x14ac:dyDescent="0.3">
      <c r="A1365" s="29" t="s">
        <v>52</v>
      </c>
      <c r="B1365" s="30">
        <v>46148</v>
      </c>
      <c r="C1365" s="30">
        <v>46154</v>
      </c>
      <c r="D1365" s="30">
        <v>46204</v>
      </c>
      <c r="E1365" s="29" t="s">
        <v>2330</v>
      </c>
      <c r="F1365" s="29" t="s">
        <v>6</v>
      </c>
      <c r="G1365" s="31">
        <v>6</v>
      </c>
      <c r="H1365" s="31" t="s">
        <v>2331</v>
      </c>
      <c r="I1365" s="28" t="s">
        <v>45</v>
      </c>
    </row>
    <row r="1366" spans="1:9" x14ac:dyDescent="0.3">
      <c r="A1366" s="29" t="s">
        <v>52</v>
      </c>
      <c r="B1366" s="30">
        <v>46148</v>
      </c>
      <c r="C1366" s="30">
        <v>46154</v>
      </c>
      <c r="D1366" s="30">
        <v>46204</v>
      </c>
      <c r="E1366" s="29" t="s">
        <v>2332</v>
      </c>
      <c r="F1366" s="29" t="s">
        <v>6</v>
      </c>
      <c r="G1366" s="31">
        <v>2</v>
      </c>
      <c r="H1366" s="31" t="s">
        <v>2333</v>
      </c>
      <c r="I1366" s="28" t="s">
        <v>45</v>
      </c>
    </row>
    <row r="1367" spans="1:9" x14ac:dyDescent="0.3">
      <c r="A1367" s="29" t="s">
        <v>90</v>
      </c>
      <c r="B1367" s="30">
        <v>46148</v>
      </c>
      <c r="C1367" s="30">
        <v>46154</v>
      </c>
      <c r="D1367" s="30">
        <v>46204</v>
      </c>
      <c r="E1367" s="29" t="s">
        <v>2334</v>
      </c>
      <c r="F1367" s="29" t="s">
        <v>6</v>
      </c>
      <c r="G1367" s="31">
        <v>6</v>
      </c>
      <c r="H1367" s="31" t="s">
        <v>2335</v>
      </c>
      <c r="I1367" s="28" t="s">
        <v>45</v>
      </c>
    </row>
    <row r="1368" spans="1:9" x14ac:dyDescent="0.3">
      <c r="A1368" s="29" t="s">
        <v>5</v>
      </c>
      <c r="B1368" s="30">
        <v>46153</v>
      </c>
      <c r="C1368" s="30">
        <v>46154</v>
      </c>
      <c r="D1368" s="30">
        <v>46208</v>
      </c>
      <c r="E1368" s="29" t="s">
        <v>2336</v>
      </c>
      <c r="F1368" s="29" t="s">
        <v>54</v>
      </c>
      <c r="G1368" s="31">
        <v>50</v>
      </c>
      <c r="H1368" s="31" t="s">
        <v>2337</v>
      </c>
      <c r="I1368" s="28" t="s">
        <v>37</v>
      </c>
    </row>
    <row r="1369" spans="1:9" x14ac:dyDescent="0.3">
      <c r="A1369" s="29" t="s">
        <v>5</v>
      </c>
      <c r="B1369" s="30">
        <v>46149</v>
      </c>
      <c r="C1369" s="30">
        <v>46154</v>
      </c>
      <c r="D1369" s="30">
        <v>46203</v>
      </c>
      <c r="E1369" s="29" t="s">
        <v>2338</v>
      </c>
      <c r="F1369" s="29" t="s">
        <v>54</v>
      </c>
      <c r="G1369" s="31">
        <v>113</v>
      </c>
      <c r="H1369" s="31" t="s">
        <v>2339</v>
      </c>
      <c r="I1369" s="28" t="s">
        <v>44</v>
      </c>
    </row>
    <row r="1370" spans="1:9" x14ac:dyDescent="0.3">
      <c r="A1370" s="29" t="s">
        <v>449</v>
      </c>
      <c r="B1370" s="30">
        <v>46155</v>
      </c>
      <c r="C1370" s="30">
        <v>46155</v>
      </c>
      <c r="D1370" s="30">
        <v>46221</v>
      </c>
      <c r="E1370" s="29" t="s">
        <v>2340</v>
      </c>
      <c r="F1370" s="29" t="s">
        <v>54</v>
      </c>
      <c r="G1370" s="31">
        <v>6</v>
      </c>
      <c r="H1370" s="31" t="s">
        <v>2341</v>
      </c>
      <c r="I1370" s="28" t="s">
        <v>36</v>
      </c>
    </row>
    <row r="1371" spans="1:9" x14ac:dyDescent="0.3">
      <c r="A1371" s="29" t="s">
        <v>71</v>
      </c>
      <c r="B1371" s="30">
        <v>46155</v>
      </c>
      <c r="C1371" s="30">
        <v>46155</v>
      </c>
      <c r="D1371" s="30">
        <v>46211</v>
      </c>
      <c r="E1371" s="29" t="s">
        <v>2342</v>
      </c>
      <c r="F1371" s="29" t="s">
        <v>6</v>
      </c>
      <c r="G1371" s="31">
        <v>113</v>
      </c>
      <c r="H1371" s="31" t="s">
        <v>2343</v>
      </c>
      <c r="I1371" s="28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7734375" defaultRowHeight="14.4" x14ac:dyDescent="0.3"/>
  <cols>
    <col min="1" max="1" width="28.44140625" bestFit="1" customWidth="1"/>
    <col min="2" max="2" width="7.77734375" style="22" bestFit="1" customWidth="1"/>
  </cols>
  <sheetData>
    <row r="1" spans="1:2" ht="93.6" x14ac:dyDescent="0.3">
      <c r="A1" s="1" t="s">
        <v>25</v>
      </c>
    </row>
    <row r="2" spans="1:2" x14ac:dyDescent="0.3">
      <c r="A2" s="15" t="s">
        <v>16</v>
      </c>
      <c r="B2" s="23" t="s">
        <v>15</v>
      </c>
    </row>
    <row r="3" spans="1:2" x14ac:dyDescent="0.3">
      <c r="A3" s="17" t="s">
        <v>17</v>
      </c>
      <c r="B3" s="24">
        <f>SUM('Call Center Relocations Report'!G:G)</f>
        <v>163</v>
      </c>
    </row>
    <row r="4" spans="1:2" x14ac:dyDescent="0.3">
      <c r="A4" s="17" t="s">
        <v>9</v>
      </c>
      <c r="B4" s="24">
        <f>COUNTIF('Call Center Relocations Report'!F:F,"Layoff Permanent")</f>
        <v>1</v>
      </c>
    </row>
    <row r="5" spans="1:2" x14ac:dyDescent="0.3">
      <c r="A5" s="17" t="s">
        <v>10</v>
      </c>
      <c r="B5" s="24">
        <f>COUNTIF('Call Center Relocations Report'!F:F,"Layoff Temporary")</f>
        <v>0</v>
      </c>
    </row>
    <row r="6" spans="1:2" x14ac:dyDescent="0.3">
      <c r="A6" s="17" t="s">
        <v>11</v>
      </c>
      <c r="B6" s="24">
        <f>COUNTIF('Call Center Relocations Report'!F:F,"Layoff Not Identified")</f>
        <v>0</v>
      </c>
    </row>
    <row r="7" spans="1:2" x14ac:dyDescent="0.3">
      <c r="A7" s="17" t="s">
        <v>12</v>
      </c>
      <c r="B7" s="24">
        <f>COUNTIF('Call Center Relocations Report'!F:F,"Closure Permanent")</f>
        <v>0</v>
      </c>
    </row>
    <row r="8" spans="1:2" x14ac:dyDescent="0.3">
      <c r="A8" s="17" t="s">
        <v>13</v>
      </c>
      <c r="B8" s="24">
        <f>COUNTIF('Call Center Relocations Report'!F:F,"Closure Temporary")</f>
        <v>0</v>
      </c>
    </row>
    <row r="9" spans="1:2" x14ac:dyDescent="0.3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7734375" defaultRowHeight="14.4" x14ac:dyDescent="0.3"/>
  <cols>
    <col min="1" max="1" width="31.21875" customWidth="1"/>
    <col min="2" max="2" width="8.44140625" style="18" bestFit="1" customWidth="1"/>
    <col min="3" max="3" width="12.21875" style="18" bestFit="1" customWidth="1"/>
    <col min="4" max="4" width="10.21875" style="18" bestFit="1" customWidth="1"/>
    <col min="5" max="5" width="31.21875" style="1" bestFit="1" customWidth="1"/>
    <col min="6" max="6" width="13.44140625" bestFit="1" customWidth="1"/>
    <col min="7" max="7" width="12.21875" bestFit="1" customWidth="1"/>
    <col min="8" max="8" width="34.44140625" bestFit="1" customWidth="1"/>
  </cols>
  <sheetData>
    <row r="1" spans="1:8" ht="99" x14ac:dyDescent="0.3">
      <c r="A1" s="25" t="s">
        <v>2344</v>
      </c>
      <c r="E1"/>
    </row>
    <row r="2" spans="1:8" ht="24.6" x14ac:dyDescent="0.3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7734375" defaultRowHeight="14.4" x14ac:dyDescent="0.3"/>
  <cols>
    <col min="1" max="1" width="67.2187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7A154A-66CD-4058-BDA6-31D2F398EDA1}">
  <ds:schemaRefs>
    <ds:schemaRef ds:uri="http://purl.org/dc/terms/"/>
    <ds:schemaRef ds:uri="http://purl.org/dc/elements/1.1/"/>
    <ds:schemaRef ds:uri="http://schemas.microsoft.com/office/2006/metadata/properties"/>
    <ds:schemaRef ds:uri="http://schemas.microsoft.com/office/2006/documentManagement/types"/>
    <ds:schemaRef ds:uri="82b749e3-8208-459a-bfc0-9b428d09cbab"/>
    <ds:schemaRef ds:uri="http://schemas.microsoft.com/office/infopath/2007/PartnerControls"/>
    <ds:schemaRef ds:uri="9ac7e9dd-8d2d-4750-b54a-f534515ac3a2"/>
    <ds:schemaRef ds:uri="http://purl.org/dc/dcmitype/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413F8CC-7AE4-4586-9690-FC3C247109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4718E2-2DEB-47C0-B6F4-A478DF3DD7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2026-05-14T17:58:29Z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