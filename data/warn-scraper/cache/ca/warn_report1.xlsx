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67E9327B-19F6-4ED4-B380-DB1D40B7B3BD}" xr6:coauthVersionLast="47" xr6:coauthVersionMax="47" xr10:uidLastSave="{00000000-0000-0000-0000-000000000000}"/>
  <bookViews>
    <workbookView xWindow="-28920" yWindow="-45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<sst xmlns="http://schemas.openxmlformats.org/spreadsheetml/2006/main" count="1416" uniqueCount="579">
  <si>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</si>
  <si>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</si>
  <si>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</si>
  <si>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</si>
  <si>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</si>
  <si>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</si>
  <si>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</si>
  <si>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</si>
  <si>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</si>
  <si>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</si>
  <si>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</si>
  <si>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</si>
  <si>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</si>
  <si>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</si>
  <si>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</si>
  <si>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</si>
  <si>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</si>
  <si>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</si>
  <si>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</si>
  <si>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</si>
  <si>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</si>
  <si>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</si>
  <si>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</si>
  <si>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</si>
  <si>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</si>
  <si>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</si>
  <si>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</si>
  <si>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</si>
  <si>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</si>
  <si>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</si>
  <si>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</si>
  <si>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</si>
  <si>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</si>
  <si>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</si>
  <si>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</si>
  <si>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</si>
  <si>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</si>
  <si>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</si>
  <si>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</si>
  <si>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</si>
  <si>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</si>
  <si>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</si>
  <si>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</si>
  <si>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</si>
  <si>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</si>
  <si>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</si>
  <si>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</si>
  <si>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</si>
  <si>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</si>
  <si>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</si>
  <si>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</si>
  <si>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</si>
  <si>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</si>
  <si>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</si>
  <si>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</si>
  <si>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</si>
  <si>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</si>
  <si>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</si>
  <si>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</si>
  <si>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</si>
  <si>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</si>
  <si>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</si>
  <si>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</si>
  <si>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</si>
  <si>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</si>
  <si>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</si>
  <si>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</si>
  <si>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</si>
  <si>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</si>
  <si>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</si>
  <si>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</si>
  <si>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</si>
  <si>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</si>
  <si>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</si>
  <si>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</si>
  <si>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</si>
  <si>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</si>
  <si>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</si>
  <si>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</si>
  <si>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</si>
  <si>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</si>
  <si>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</si>
  <si>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</si>
  <si>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</si>
  <si>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</si>
  <si>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</si>
  <si>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</si>
  <si>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</si>
  <si>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</si>
  <si>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</si>
  <si>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</si>
  <si>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</si>
  <si>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</si>
  <si>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</si>
  <si>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</si>
  <si>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</si>
  <si>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</si>
  <si>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</si>
  <si>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</si>
  <si>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</si>
  <si>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</si>
  <si>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</si>
  <si>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</si>
  <si>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</si>
  <si>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</si>
  <si>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</si>
  <si>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</si>
  <si>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</si>
  <si>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</si>
  <si>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</si>
  <si>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</si>
  <si>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</si>
  <si>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</si>
  <si>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</si>
  <si>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</si>
  <si>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</si>
  <si>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</si>
  <si>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</si>
  <si>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</si>
  <si>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</si>
  <si>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</si>
  <si>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</si>
  <si>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</si>
  <si>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</si>
  <si>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</si>
  <si>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</si>
  <si>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</si>
  <si>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</si>
  <si>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</si>
  <si>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</si>
  <si>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</si>
  <si>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</si>
  <si>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</si>
  <si>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</si>
  <si>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</si>
  <si>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</si>
  <si>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</si>
  <si>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</si>
  <si>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</si>
  <si>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</si>
  <si>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</si>
  <si>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</si>
  <si>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</si>
  <si>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</si>
  <si>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</si>
  <si>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</si>
  <si>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</si>
  <si>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</si>
  <si>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</si>
  <si>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</si>
  <si>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</si>
  <si>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</si>
  <si>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</si>
  <si>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</si>
  <si>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</si>
  <si>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</si>
  <si>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</si>
  <si>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</si>
  <si>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</si>
  <si>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</si>
  <si>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</si>
  <si>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</si>
  <si>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</si>
  <si>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</si>
  <si>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</si>
  <si>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</si>
  <si>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</si>
  <si>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</si>
  <si>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</si>
  <si>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</si>
  <si>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</si>
  <si>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</si>
  <si>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</si>
  <si>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</si>
  <si>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</si>
  <si>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</si>
  <si>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</si>
  <si>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</si>
  <si>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</si>
  <si>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</si>
  <si>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</si>
  <si>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</si>
  <si>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</si>
  <si>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</si>
  <si>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</si>
  <si>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</si>
  <si>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</si>
  <si>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</si>
  <si>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</si>
  <si>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</si>
  <si>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</si>
  <si>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</si>
  <si>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</si>
  <si>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</si>
  <si>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</si>
  <si>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</si>
  <si>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</si>
  <si>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</si>
  <si>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</si>
  <si>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</si>
  <si>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</si>
  <si>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</si>
  <si>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</si>
  <si>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</si>
  <si>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</si>
  <si>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</si>
  <si>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</si>
  <si>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</si>
  <si>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</si>
  <si>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</si>
  <si>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</si>
  <si>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</si>
  <si>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</si>
  <si>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</si>
  <si>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</si>
  <si>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</si>
  <si>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</si>
  <si>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</si>
  <si>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</si>
  <si>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</si>
  <si>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</si>
  <si>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</si>
  <si>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</si>
  <si>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</si>
  <si>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</si>
  <si>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</si>
  <si>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</si>
  <si>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</si>
  <si>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</si>
  <si>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</si>
  <si>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</si>
  <si>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</si>
  <si>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</si>
  <si>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</si>
  <si>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</si>
  <si>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</si>
  <si>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</si>
  <si>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</si>
  <si>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</si>
  <si>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</si>
  <si>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</si>
  <si>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</si>
  <si>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</si>
  <si>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</si>
  <si>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</si>
  <si>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</si>
  <si>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</si>
  <si>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</si>
  <si>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</si>
  <si>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</si>
  <si>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</si>
  <si>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</si>
  <si>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</si>
  <si>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</si>
  <si>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</si>
  <si>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</si>
  <si>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</si>
  <si>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</si>
  <si>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</si>
  <si>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</si>
  <si>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</si>
  <si>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</si>
  <si>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</si>
  <si>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</si>
  <si>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</si>
  <si>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</si>
  <si>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</si>
  <si>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</si>
  <si>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</si>
  <si>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</si>
  <si>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</si>
  <si>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</si>
  <si>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</si>
  <si>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</si>
  <si>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</si>
  <si>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</si>
  <si>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</si>
  <si>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</si>
  <si>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</si>
  <si>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</si>
  <si>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</si>
  <si>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</si>
  <si>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</si>
  <si>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</si>
  <si>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</si>
  <si>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</si>
  <si>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</si>
  <si>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</si>
  <si>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</si>
  <si>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</si>
  <si>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</si>
  <si>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</si>
  <si>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</si>
  <si>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</si>
  <si>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</si>
  <si>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</si>
  <si>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</si>
  <si>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</si>
  <si>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</si>
  <si>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</si>
  <si>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</si>
  <si>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</si>
  <si>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</si>
  <si>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</si>
  <si>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</si>
  <si>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</si>
  <si>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</si>
  <si>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</si>
  <si>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</si>
  <si>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</si>
  <si>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</si>
  <si>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</si>
  <si>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</si>
  <si>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</si>
  <si>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</si>
  <si>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</si>
  <si>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</si>
  <si>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</si>
  <si>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</si>
  <si>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</si>
  <si>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</si>
  <si>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</si>
  <si>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</si>
  <si>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</si>
  <si>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</si>
  <si>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</si>
  <si>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</si>
  <si>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</si>
  <si>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</si>
  <si>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</si>
  <si>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</si>
  <si>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</si>
  <si>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</si>
  <si>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</si>
  <si>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</si>
  <si>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</si>
  <si>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</si>
  <si>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</si>
  <si>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</si>
  <si>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</si>
  <si>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</si>
  <si>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</si>
  <si>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</si>
  <si>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</si>
  <si>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</si>
  <si>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</si>
  <si>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</si>
  <si>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</si>
  <si>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</si>
  <si>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</si>
  <si>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</si>
  <si>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</si>
  <si>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</si>
  <si>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</si>
  <si>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</si>
  <si>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</si>
  <si>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</si>
  <si>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</si>
  <si>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</si>
  <si>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</si>
  <si>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</si>
  <si>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</si>
  <si>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</si>
  <si>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</si>
  <si>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</si>
  <si>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</si>
  <si>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</si>
  <si>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</si>
  <si>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</si>
  <si>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</si>
  <si>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</si>
  <si>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</si>
  <si>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</si>
  <si>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</si>
  <si>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</si>
  <si>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</si>
  <si>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</si>
  <si>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</si>
  <si>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</si>
  <si>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</si>
  <si>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</si>
  <si>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</si>
  <si>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</si>
  <si>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</si>
  <si>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</si>
  <si>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</si>
  <si>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</si>
  <si>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</si>
  <si>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</si>
  <si>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</si>
  <si>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</si>
  <si>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</si>
  <si>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</si>
  <si>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</si>
  <si>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</si>
  <si>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</si>
  <si>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</si>
  <si>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</si>
  <si>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</si>
  <si>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</si>
  <si>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</si>
  <si>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</si>
  <si>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</si>
  <si>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</si>
  <si>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</si>
  <si>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</si>
  <si>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</si>
  <si>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</si>
  <si>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</si>
  <si>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</si>
  <si>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</si>
  <si>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</si>
  <si>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</si>
  <si>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</si>
  <si>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</si>
  <si>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</si>
  <si>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</si>
  <si>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</si>
  <si>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</si>
  <si>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</si>
  <si>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</si>
  <si>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</si>
  <si>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</si>
  <si>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</si>
  <si>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</si>
  <si>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</si>
  <si>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</si>
  <si>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</si>
  <si>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</si>
  <si>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</si>
  <si>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</si>
  <si>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</si>
  <si>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</si>
  <si>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</si>
  <si>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</si>
  <si>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</si>
  <si>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</si>
  <si>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</si>
  <si>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</si>
  <si>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</si>
  <si>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</si>
  <si>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</si>
  <si>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</si>
  <si>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</si>
  <si>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</si>
  <si>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</si>
  <si>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</si>
  <si>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</si>
  <si>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</si>
  <si>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</si>
  <si>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</si>
  <si>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</si>
  <si>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</si>
  <si>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</si>
  <si>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</si>
  <si>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</si>
  <si>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</si>
  <si>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</si>
  <si>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</si>
  <si>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</si>
  <si>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</si>
  <si>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</si>
  <si>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</si>
  <si>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</si>
  <si>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</si>
  <si>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</si>
  <si>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</si>
  <si>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</si>
  <si>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</si>
  <si>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</si>
  <si>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</si>
  <si>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</si>
  <si>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</si>
  <si>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</si>
  <si>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</si>
  <si>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</si>
  <si>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</si>
  <si>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</si>
  <si>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</si>
  <si>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</si>
  <si>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</si>
  <si>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</si>
  <si>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</si>
  <si>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</si>
  <si>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</si>
  <si>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</si>
  <si>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</si>
  <si>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</si>
  <si>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</si>
  <si>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</si>
  <si>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</si>
  <si>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</si>
  <si>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</si>
  <si>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</si>
  <si>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</si>
  <si>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</si>
  <si>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</si>
  <si>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</si>
  <si>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</si>
  <si>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</si>
  <si>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</si>
  <si>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</si>
  <si>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</si>
  <si>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</si>
  <si>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</si>
  <si>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</si>
  <si>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</si>
  <si>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</si>
  <si>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</si>
  <si>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</si>
  <si>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</si>
  <si>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</si>
  <si>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</si>
  <si>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</si>
  <si>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</si>
  <si>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</si>
  <si>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</si>
  <si>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</si>
  <si>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</si>
  <si>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</si>
  <si>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</si>
  <si>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</si>
  <si>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</si>
  <si>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</si>
  <si>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</si>
  <si>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</si>
  <si>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</si>
  <si>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</si>
  <si>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</si>
  <si>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</si>
  <si>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</si>
  <si>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</si>
  <si>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</si>
  <si>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</si>
  <si>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</si>
  <si>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</si>
  <si>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</si>
  <si>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</si>
  <si>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</si>
  <si>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</si>
  <si>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</si>
  <si>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</si>
  <si>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</si>
  <si>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</si>
  <si>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</si>
  <si>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</si>
  <si>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</si>
  <si>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</si>
  <si>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</si>
  <si>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</si>
  <si>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</si>
  <si>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</si>
  <si>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</si>
  <si>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</si>
  <si>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</si>
  <si>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</si>
  <si>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</si>
  <si>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</si>
  <si>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</si>
  <si>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</si>
  <si>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</si>
  <si>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</si>
  <si>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</si>
  <si>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</si>
  <si>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</si>
  <si>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</si>
  <si>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</si>
  <si>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</si>
  <si>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</si>
  <si>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</si>
  <si>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</si>
  <si>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</si>
  <si>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</si>
  <si>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</si>
  <si>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</si>
  <si>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</si>
  <si>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01/01/2023 - 09/21/2026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</si>
  <si>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Relocation Permanent</t>
  </si>
  <si>
    <r>
      <t xml:space="preserve">WARN REPORT - </t>
    </r>
    <r>
      <rPr>
        <b/>
        <sz val="12"/>
        <rFont val="Calibri"/>
        <family val="2"/>
        <scheme val="minor"/>
      </rPr>
      <t>07/01/26 to 09/21/2026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I271.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</si>
</sst>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6" fontId="14" fillId="3" borderId="8" xfId="0" applyNumberFormat="1" applyFont="1" applyFill="1" applyBorder="1" applyAlignment="1">
      <alignment horizontal="left"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horizontal="right"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6" fontId="14" fillId="4" borderId="8" xfId="0" applyNumberFormat="1" applyFont="1" applyFill="1" applyBorder="1" applyAlignment="1">
      <alignment horizontal="left"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71" totalsRowShown="0" headerRowDxfId="31" dataDxfId="30">
  <autoFilter ref="A2:I271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13265</v>
      </c>
    </row>
    <row r="4" spans="1:2" x14ac:dyDescent="0.25">
      <c r="A4" s="2" t="s">
        <v>9</v>
      </c>
      <c r="B4" s="11">
        <f>COUNTIF('Detailed WARN Report '!F:F,"Layoff Permanent")</f>
        <v>166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29</v>
      </c>
    </row>
    <row r="7" spans="1:2" x14ac:dyDescent="0.25">
      <c r="A7" s="2" t="s">
        <v>12</v>
      </c>
      <c r="B7" s="11">
        <f>COUNTIF('Detailed WARN Report '!F:F,"Closure Permanent")</f>
        <v>63</v>
      </c>
    </row>
    <row r="8" spans="1:2" x14ac:dyDescent="0.25">
      <c r="A8" s="2" t="s">
        <v>13</v>
      </c>
      <c r="B8" s="11">
        <f>COUNTIF('Detailed WARN Report '!F:F,"Closure Temporary")</f>
        <v>4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71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7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8.75" customHeight="1" x14ac:dyDescent="0.25">
      <c r="A1" s="16" t="s">
        <v>578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577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2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2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2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2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2" t="s">
        <v>43</v>
      </c>
    </row>
    <row r="223" spans="1:9" x14ac:dyDescent="0.25">
      <c r="A223" s="33" t="s">
        <v>76</v>
      </c>
      <c r="B223" s="41">
        <v>46279</v>
      </c>
      <c r="C223" s="42">
        <v>46280</v>
      </c>
      <c r="D223" s="41">
        <v>46339</v>
      </c>
      <c r="E223" s="43" t="s">
        <v>486</v>
      </c>
      <c r="F223" s="43" t="s">
        <v>6</v>
      </c>
      <c r="G223" s="30">
        <v>63</v>
      </c>
      <c r="H223" s="43" t="s">
        <v>487</v>
      </c>
      <c r="I223" s="32" t="s">
        <v>34</v>
      </c>
    </row>
    <row r="224" spans="1:9" x14ac:dyDescent="0.25">
      <c r="A224" s="33" t="s">
        <v>55</v>
      </c>
      <c r="B224" s="41">
        <v>46279</v>
      </c>
      <c r="C224" s="42">
        <v>46280</v>
      </c>
      <c r="D224" s="41">
        <v>46339</v>
      </c>
      <c r="E224" s="43" t="s">
        <v>488</v>
      </c>
      <c r="F224" s="43" t="s">
        <v>6</v>
      </c>
      <c r="G224" s="44">
        <v>279</v>
      </c>
      <c r="H224" s="43" t="s">
        <v>489</v>
      </c>
      <c r="I224" s="32" t="s">
        <v>34</v>
      </c>
    </row>
    <row r="225" spans="1:9" x14ac:dyDescent="0.25">
      <c r="A225" s="33" t="s">
        <v>103</v>
      </c>
      <c r="B225" s="45">
        <v>46279</v>
      </c>
      <c r="C225" s="46">
        <v>46280</v>
      </c>
      <c r="D225" s="45">
        <v>46339</v>
      </c>
      <c r="E225" s="47" t="s">
        <v>488</v>
      </c>
      <c r="F225" s="47" t="s">
        <v>6</v>
      </c>
      <c r="G225" s="48">
        <v>99</v>
      </c>
      <c r="H225" s="47" t="s">
        <v>490</v>
      </c>
      <c r="I225" s="32" t="s">
        <v>34</v>
      </c>
    </row>
    <row r="226" spans="1:9" x14ac:dyDescent="0.25">
      <c r="A226" s="33" t="s">
        <v>79</v>
      </c>
      <c r="B226" s="41">
        <v>46267</v>
      </c>
      <c r="C226" s="42">
        <v>46280</v>
      </c>
      <c r="D226" s="41">
        <v>46328</v>
      </c>
      <c r="E226" s="43" t="s">
        <v>491</v>
      </c>
      <c r="F226" s="43" t="s">
        <v>6</v>
      </c>
      <c r="G226" s="44">
        <v>151</v>
      </c>
      <c r="H226" s="43" t="s">
        <v>153</v>
      </c>
      <c r="I226" s="32" t="s">
        <v>43</v>
      </c>
    </row>
    <row r="227" spans="1:9" x14ac:dyDescent="0.25">
      <c r="A227" s="33" t="s">
        <v>79</v>
      </c>
      <c r="B227" s="45">
        <v>46267</v>
      </c>
      <c r="C227" s="46">
        <v>46280</v>
      </c>
      <c r="D227" s="45">
        <v>46328</v>
      </c>
      <c r="E227" s="47" t="s">
        <v>492</v>
      </c>
      <c r="F227" s="47" t="s">
        <v>6</v>
      </c>
      <c r="G227" s="48">
        <v>102</v>
      </c>
      <c r="H227" s="47" t="s">
        <v>493</v>
      </c>
      <c r="I227" s="32" t="s">
        <v>43</v>
      </c>
    </row>
    <row r="228" spans="1:9" x14ac:dyDescent="0.25">
      <c r="A228" s="33" t="s">
        <v>323</v>
      </c>
      <c r="B228" s="41">
        <v>46280</v>
      </c>
      <c r="C228" s="42">
        <v>46280</v>
      </c>
      <c r="D228" s="41">
        <v>46330</v>
      </c>
      <c r="E228" s="43" t="s">
        <v>494</v>
      </c>
      <c r="F228" s="43" t="s">
        <v>52</v>
      </c>
      <c r="G228" s="44">
        <v>91</v>
      </c>
      <c r="H228" s="43" t="s">
        <v>495</v>
      </c>
      <c r="I228" s="32" t="s">
        <v>43</v>
      </c>
    </row>
    <row r="229" spans="1:9" x14ac:dyDescent="0.25">
      <c r="A229" s="33" t="s">
        <v>323</v>
      </c>
      <c r="B229" s="45">
        <v>46280</v>
      </c>
      <c r="C229" s="46">
        <v>46280</v>
      </c>
      <c r="D229" s="45">
        <v>46330</v>
      </c>
      <c r="E229" s="47" t="s">
        <v>496</v>
      </c>
      <c r="F229" s="47" t="s">
        <v>52</v>
      </c>
      <c r="G229" s="48">
        <v>19</v>
      </c>
      <c r="H229" s="47" t="s">
        <v>497</v>
      </c>
      <c r="I229" s="32" t="s">
        <v>43</v>
      </c>
    </row>
    <row r="230" spans="1:9" x14ac:dyDescent="0.25">
      <c r="A230" s="33" t="s">
        <v>135</v>
      </c>
      <c r="B230" s="41">
        <v>46279</v>
      </c>
      <c r="C230" s="42">
        <v>46280</v>
      </c>
      <c r="D230" s="41">
        <v>46341</v>
      </c>
      <c r="E230" s="43" t="s">
        <v>498</v>
      </c>
      <c r="F230" s="43" t="s">
        <v>52</v>
      </c>
      <c r="G230" s="44">
        <v>7</v>
      </c>
      <c r="H230" s="43" t="s">
        <v>137</v>
      </c>
      <c r="I230" s="32" t="s">
        <v>34</v>
      </c>
    </row>
    <row r="231" spans="1:9" x14ac:dyDescent="0.25">
      <c r="A231" s="33" t="s">
        <v>53</v>
      </c>
      <c r="B231" s="41">
        <v>46266</v>
      </c>
      <c r="C231" s="42">
        <v>46281</v>
      </c>
      <c r="D231" s="41">
        <v>46327</v>
      </c>
      <c r="E231" s="43" t="s">
        <v>499</v>
      </c>
      <c r="F231" s="43" t="s">
        <v>52</v>
      </c>
      <c r="G231" s="44">
        <v>35</v>
      </c>
      <c r="H231" s="43" t="s">
        <v>500</v>
      </c>
      <c r="I231" s="32" t="s">
        <v>45</v>
      </c>
    </row>
    <row r="232" spans="1:9" x14ac:dyDescent="0.25">
      <c r="A232" s="33" t="s">
        <v>53</v>
      </c>
      <c r="B232" s="45">
        <v>46266</v>
      </c>
      <c r="C232" s="46">
        <v>46281</v>
      </c>
      <c r="D232" s="45">
        <v>46327</v>
      </c>
      <c r="E232" s="47" t="s">
        <v>499</v>
      </c>
      <c r="F232" s="47" t="s">
        <v>52</v>
      </c>
      <c r="G232" s="48">
        <v>32</v>
      </c>
      <c r="H232" s="47" t="s">
        <v>501</v>
      </c>
      <c r="I232" s="32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2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2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2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2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2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2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2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2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2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2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2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2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2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2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2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2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2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2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2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2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2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2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2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2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2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2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2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2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2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2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2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2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2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2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2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2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2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2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2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I3:I271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576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67808B-C578-46B0-BA38-8B1368DDEF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E7DA0C-0FF1-495C-8B3A-B3D0E5B827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A33669-60E1-43A7-A872-44A5DB367147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ac7e9dd-8d2d-4750-b54a-f534515ac3a2"/>
    <ds:schemaRef ds:uri="http://schemas.microsoft.com/office/2006/metadata/properties"/>
    <ds:schemaRef ds:uri="http://schemas.microsoft.com/office/2006/documentManagement/types"/>
    <ds:schemaRef ds:uri="82b749e3-8208-459a-bfc0-9b428d09cbab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2026-09-22T15:41:56Z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