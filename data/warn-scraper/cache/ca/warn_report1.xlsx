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2C059C3D-9E75-43F0-AC76-11C7665B8AAE}" xr6:coauthVersionLast="47" xr6:coauthVersionMax="47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<sst xmlns="http://schemas.openxmlformats.org/spreadsheetml/2006/main" count="1035" uniqueCount="432">
  <si>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</si>
  <si>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</si>
  <si>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</si>
  <si>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</si>
  <si>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</si>
  <si>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</si>
  <si>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</si>
  <si>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</si>
  <si>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</si>
  <si>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</si>
  <si>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</si>
  <si>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</si>
  <si>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</si>
  <si>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</si>
  <si>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</si>
  <si>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</si>
  <si>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</si>
  <si>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</si>
  <si>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</si>
  <si>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</si>
  <si>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</si>
  <si>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</si>
  <si>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</si>
  <si>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</si>
  <si>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</si>
  <si>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</si>
  <si>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</si>
  <si>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</si>
  <si>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</si>
  <si>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</si>
  <si>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</si>
  <si>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</si>
  <si>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</si>
  <si>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</si>
  <si>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</si>
  <si>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</si>
  <si>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</si>
  <si>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</si>
  <si>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</si>
  <si>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</si>
  <si>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</si>
  <si>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</si>
  <si>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</si>
  <si>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</si>
  <si>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</si>
  <si>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</si>
  <si>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</si>
  <si>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</si>
  <si>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</si>
  <si>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</si>
  <si>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</si>
  <si>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</si>
  <si>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</si>
  <si>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</si>
  <si>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</si>
  <si>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</si>
  <si>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</si>
  <si>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</si>
  <si>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</si>
  <si>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</si>
  <si>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</si>
  <si>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</si>
  <si>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</si>
  <si>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</si>
  <si>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</si>
  <si>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</si>
  <si>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</si>
  <si>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</si>
  <si>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</si>
  <si>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</si>
  <si>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</si>
  <si>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</si>
  <si>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</si>
  <si>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</si>
  <si>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</si>
  <si>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</si>
  <si>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</si>
  <si>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</si>
  <si>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</si>
  <si>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</si>
  <si>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</si>
  <si>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</si>
  <si>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</si>
  <si>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</si>
  <si>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</si>
  <si>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</si>
  <si>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</si>
  <si>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</si>
  <si>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</si>
  <si>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</si>
  <si>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</si>
  <si>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</si>
  <si>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</si>
  <si>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</si>
  <si>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</si>
  <si>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</si>
  <si>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</si>
  <si>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</si>
  <si>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</si>
  <si>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</si>
  <si>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</si>
  <si>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</si>
  <si>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</si>
  <si>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</si>
  <si>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</si>
  <si>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</si>
  <si>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</si>
  <si>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</si>
  <si>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</si>
  <si>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</si>
  <si>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</si>
  <si>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</si>
  <si>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</si>
  <si>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</si>
  <si>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</si>
  <si>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</si>
  <si>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</si>
  <si>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</si>
  <si>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</si>
  <si>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</si>
  <si>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</si>
  <si>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</si>
  <si>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</si>
  <si>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</si>
  <si>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</si>
  <si>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</si>
  <si>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</si>
  <si>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</si>
  <si>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</si>
  <si>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</si>
  <si>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</si>
  <si>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</si>
  <si>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</si>
  <si>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</si>
  <si>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</si>
  <si>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</si>
  <si>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</si>
  <si>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</si>
  <si>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</si>
  <si>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</si>
  <si>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</si>
  <si>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</si>
  <si>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</si>
  <si>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</si>
  <si>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</si>
  <si>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</si>
  <si>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</si>
  <si>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</si>
  <si>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</si>
  <si>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</si>
  <si>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</si>
  <si>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</si>
  <si>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</si>
  <si>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</si>
  <si>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</si>
  <si>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</si>
  <si>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</si>
  <si>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</si>
  <si>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</si>
  <si>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</si>
  <si>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</si>
  <si>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</si>
  <si>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</si>
  <si>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</si>
  <si>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</si>
  <si>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</si>
  <si>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</si>
  <si>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</si>
  <si>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</si>
  <si>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</si>
  <si>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</si>
  <si>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</si>
  <si>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</si>
  <si>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</si>
  <si>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</si>
  <si>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</si>
  <si>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</si>
  <si>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</si>
  <si>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</si>
  <si>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</si>
  <si>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</si>
  <si>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</si>
  <si>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</si>
  <si>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</si>
  <si>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</si>
  <si>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</si>
  <si>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</si>
  <si>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</si>
  <si>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</si>
  <si>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</si>
  <si>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</si>
  <si>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</si>
  <si>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</si>
  <si>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</si>
  <si>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</si>
  <si>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</si>
  <si>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</si>
  <si>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</si>
  <si>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</si>
  <si>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</si>
  <si>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</si>
  <si>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</si>
  <si>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</si>
  <si>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</si>
  <si>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</si>
  <si>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</si>
  <si>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</si>
  <si>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</si>
  <si>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</si>
  <si>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</si>
  <si>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</si>
  <si>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</si>
  <si>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</si>
  <si>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</si>
  <si>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</si>
  <si>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</si>
  <si>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</si>
  <si>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</si>
  <si>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</si>
  <si>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</si>
  <si>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</si>
  <si>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</si>
  <si>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</si>
  <si>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</si>
  <si>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</si>
  <si>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</si>
  <si>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</si>
  <si>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</si>
  <si>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</si>
  <si>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</si>
  <si>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</si>
  <si>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</si>
  <si>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</si>
  <si>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</si>
  <si>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</si>
  <si>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</si>
  <si>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</si>
  <si>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</si>
  <si>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</si>
  <si>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</si>
  <si>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</si>
  <si>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</si>
  <si>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</si>
  <si>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</si>
  <si>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</si>
  <si>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</si>
  <si>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</si>
  <si>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</si>
  <si>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</si>
  <si>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</si>
  <si>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</si>
  <si>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</si>
  <si>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</si>
  <si>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</si>
  <si>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</si>
  <si>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</si>
  <si>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</si>
  <si>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</si>
  <si>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</si>
  <si>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</si>
  <si>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</si>
  <si>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</si>
  <si>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</si>
  <si>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</si>
  <si>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</si>
  <si>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</si>
  <si>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</si>
  <si>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</si>
  <si>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</si>
  <si>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</si>
  <si>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</si>
  <si>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</si>
  <si>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</si>
  <si>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</si>
  <si>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</si>
  <si>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</si>
  <si>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</si>
  <si>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</si>
  <si>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</si>
  <si>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</si>
  <si>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</si>
  <si>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</si>
  <si>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</si>
  <si>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</si>
  <si>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</si>
  <si>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</si>
  <si>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</si>
  <si>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</si>
  <si>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</si>
  <si>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</si>
  <si>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</si>
  <si>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</si>
  <si>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</si>
  <si>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</si>
  <si>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</si>
  <si>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</si>
  <si>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</si>
  <si>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</si>
  <si>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</si>
  <si>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</si>
  <si>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</si>
  <si>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</si>
  <si>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</si>
  <si>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</si>
  <si>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</si>
  <si>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</si>
  <si>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</si>
  <si>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</si>
  <si>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</si>
  <si>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</si>
  <si>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</si>
  <si>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</si>
  <si>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</si>
  <si>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</si>
  <si>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</si>
  <si>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</si>
  <si>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</si>
  <si>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</si>
  <si>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</si>
  <si>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</si>
  <si>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</si>
  <si>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</si>
  <si>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</si>
  <si>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</si>
  <si>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</si>
  <si>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</si>
  <si>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</si>
  <si>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</si>
  <si>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</si>
  <si>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</si>
  <si>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</si>
  <si>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</si>
  <si>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</si>
  <si>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</si>
  <si>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</si>
  <si>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</si>
  <si>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</si>
  <si>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</si>
  <si>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</si>
  <si>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</si>
  <si>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</si>
  <si>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</si>
  <si>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</si>
  <si>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</si>
  <si>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</si>
  <si>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</si>
  <si>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</si>
  <si>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</si>
  <si>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</si>
  <si>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</si>
  <si>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</si>
  <si>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</si>
  <si>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</si>
  <si>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</si>
  <si>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</si>
  <si>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</si>
  <si>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</si>
  <si>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</si>
  <si>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</si>
  <si>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</si>
  <si>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</si>
  <si>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</si>
  <si>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</si>
  <si>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</si>
  <si>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</si>
  <si>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</si>
  <si>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</si>
  <si>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</si>
  <si>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</si>
  <si>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</si>
  <si>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</si>
  <si>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</si>
  <si>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</si>
  <si>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</si>
  <si>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</si>
  <si>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</si>
  <si>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</si>
  <si>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</si>
  <si>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</si>
  <si>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</si>
  <si>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</si>
  <si>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</si>
  <si>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</si>
  <si>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</si>
  <si>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</si>
  <si>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</si>
  <si>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</si>
  <si>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</si>
  <si>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</si>
  <si>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</si>
  <si>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</si>
  <si>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</si>
  <si>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</si>
  <si>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</si>
  <si>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</si>
  <si>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</si>
  <si>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</si>
  <si>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</si>
  <si>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</si>
  <si>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</si>
  <si>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</si>
  <si>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</si>
  <si>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</si>
  <si>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</si>
  <si>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</si>
  <si>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</si>
  <si>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</si>
  <si>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</si>
  <si>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</si>
  <si>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</si>
  <si>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</si>
  <si>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</si>
  <si>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</si>
  <si>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</si>
  <si>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</si>
  <si>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</si>
  <si>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</si>
  <si>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</si>
  <si>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</si>
  <si>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</si>
  <si>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</si>
  <si>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</si>
  <si>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</si>
  <si>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</si>
  <si>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</si>
  <si>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</si>
  <si>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</si>
  <si>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</si>
  <si>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</si>
  <si>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</si>
  <si>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</si>
  <si>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r>
      <t xml:space="preserve">WARN REPORT - </t>
    </r>
    <r>
      <rPr>
        <b/>
        <sz val="12"/>
        <rFont val="Calibri"/>
        <family val="2"/>
        <scheme val="minor"/>
      </rPr>
      <t>07/01/23 to 09/27/23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H255.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</si>
</sst>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55" totalsRowShown="0" headerRowDxfId="11" headerRowBorderDxfId="10" tableBorderDxfId="9" totalsRowBorderDxfId="8">
  <autoFilter ref="A2:H255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2" t="s">
        <v>348</v>
      </c>
    </row>
    <row r="2" spans="1:1" ht="21" x14ac:dyDescent="0.4">
      <c r="A2" s="9" t="s">
        <v>155</v>
      </c>
    </row>
    <row r="3" spans="1:1" x14ac:dyDescent="0.3">
      <c r="A3" s="10" t="s">
        <v>153</v>
      </c>
    </row>
    <row r="4" spans="1:1" x14ac:dyDescent="0.3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2" t="s">
        <v>347</v>
      </c>
    </row>
    <row r="2" spans="1:2" x14ac:dyDescent="0.3">
      <c r="A2" s="4" t="s">
        <v>28</v>
      </c>
      <c r="B2" s="5" t="s">
        <v>27</v>
      </c>
    </row>
    <row r="3" spans="1:2" x14ac:dyDescent="0.3">
      <c r="A3" s="3" t="s">
        <v>152</v>
      </c>
      <c r="B3" s="6">
        <f>SUM('Detailed WARN Report '!G:G)</f>
        <v>13900</v>
      </c>
    </row>
    <row r="4" spans="1:2" x14ac:dyDescent="0.3">
      <c r="A4" s="3" t="s">
        <v>21</v>
      </c>
      <c r="B4" s="6">
        <f>COUNTIF('Detailed WARN Report '!F:F,"Layoff Permanent")</f>
        <v>138</v>
      </c>
    </row>
    <row r="5" spans="1:2" x14ac:dyDescent="0.3">
      <c r="A5" s="3" t="s">
        <v>22</v>
      </c>
      <c r="B5" s="6">
        <f>COUNTIF('Detailed WARN Report '!F:F,"Layoff Temporary")</f>
        <v>3</v>
      </c>
    </row>
    <row r="6" spans="1:2" x14ac:dyDescent="0.3">
      <c r="A6" s="3" t="s">
        <v>23</v>
      </c>
      <c r="B6" s="6">
        <f>COUNTIF('Detailed WARN Report '!F:F,"Layoff Not Identified")</f>
        <v>0</v>
      </c>
    </row>
    <row r="7" spans="1:2" x14ac:dyDescent="0.3">
      <c r="A7" s="3" t="s">
        <v>24</v>
      </c>
      <c r="B7" s="6">
        <f>COUNTIF('Detailed WARN Report '!F:F,"Closure Permanent")</f>
        <v>106</v>
      </c>
    </row>
    <row r="8" spans="1:2" x14ac:dyDescent="0.3">
      <c r="A8" s="3" t="s">
        <v>25</v>
      </c>
      <c r="B8" s="6">
        <f>COUNTIF('Detailed WARN Report '!F:F,"Closure Temporary")</f>
        <v>6</v>
      </c>
    </row>
    <row r="9" spans="1:2" x14ac:dyDescent="0.3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55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2" bestFit="1" customWidth="1"/>
    <col min="6" max="6" width="14.33203125" bestFit="1" customWidth="1"/>
    <col min="7" max="7" width="9.88671875" bestFit="1" customWidth="1"/>
    <col min="8" max="8" width="52.88671875" bestFit="1" customWidth="1"/>
  </cols>
  <sheetData>
    <row r="1" spans="1:8" ht="99.6" x14ac:dyDescent="0.3">
      <c r="A1" s="8" t="s">
        <v>431</v>
      </c>
      <c r="D1" s="7"/>
      <c r="E1" s="7"/>
      <c r="F1" s="7"/>
      <c r="G1" s="7"/>
      <c r="H1" s="7"/>
    </row>
    <row r="2" spans="1:8" s="1" customFormat="1" ht="30" customHeight="1" x14ac:dyDescent="0.3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3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3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3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3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3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3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3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3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3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3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3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3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3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3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3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3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3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3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3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3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3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3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3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3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3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3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3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3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3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3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3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3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3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3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3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3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3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3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3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3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3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3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3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3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3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3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3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3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3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3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3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3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3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3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3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3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3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3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3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3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3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3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3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3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3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3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3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3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3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3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3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3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3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3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3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3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3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3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3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3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3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3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3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3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3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3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3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3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3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3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3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3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3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3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3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3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3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3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3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3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3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3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3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3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3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3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3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3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3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3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3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3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3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3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3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3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3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3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3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3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3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3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3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3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3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3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3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3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3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3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3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3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3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3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3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3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3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3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3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3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3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3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3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3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3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3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3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3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3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3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3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3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3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3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3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3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3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3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3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3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3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3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3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3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3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3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3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3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3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3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3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3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3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3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3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3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3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3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3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3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3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3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3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3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3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3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3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3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3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3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3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3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3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3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3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3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3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3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3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3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3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3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3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3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3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3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3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3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3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3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3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3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3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3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3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3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3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3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3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3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3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3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3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3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3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3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3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  <row r="230" spans="1:8" x14ac:dyDescent="0.3">
      <c r="A230" s="18" t="s">
        <v>8</v>
      </c>
      <c r="B230" s="19">
        <v>45163</v>
      </c>
      <c r="C230" s="19">
        <v>45190</v>
      </c>
      <c r="D230" s="19">
        <v>45227</v>
      </c>
      <c r="E230" s="20" t="s">
        <v>393</v>
      </c>
      <c r="F230" s="20" t="s">
        <v>16</v>
      </c>
      <c r="G230" s="21">
        <v>74</v>
      </c>
      <c r="H230" s="22" t="s">
        <v>394</v>
      </c>
    </row>
    <row r="231" spans="1:8" x14ac:dyDescent="0.3">
      <c r="A231" s="13" t="s">
        <v>86</v>
      </c>
      <c r="B231" s="14">
        <v>45112</v>
      </c>
      <c r="C231" s="14">
        <v>45190</v>
      </c>
      <c r="D231" s="14">
        <v>45177</v>
      </c>
      <c r="E231" s="15" t="s">
        <v>395</v>
      </c>
      <c r="F231" s="15" t="s">
        <v>16</v>
      </c>
      <c r="G231" s="16">
        <v>57</v>
      </c>
      <c r="H231" s="17" t="s">
        <v>396</v>
      </c>
    </row>
    <row r="232" spans="1:8" x14ac:dyDescent="0.3">
      <c r="A232" s="18" t="s">
        <v>6</v>
      </c>
      <c r="B232" s="19">
        <v>45112</v>
      </c>
      <c r="C232" s="19">
        <v>45190</v>
      </c>
      <c r="D232" s="19">
        <v>45177</v>
      </c>
      <c r="E232" s="20" t="s">
        <v>395</v>
      </c>
      <c r="F232" s="20" t="s">
        <v>16</v>
      </c>
      <c r="G232" s="21">
        <v>68</v>
      </c>
      <c r="H232" s="22" t="s">
        <v>397</v>
      </c>
    </row>
    <row r="233" spans="1:8" x14ac:dyDescent="0.3">
      <c r="A233" s="13" t="s">
        <v>6</v>
      </c>
      <c r="B233" s="14">
        <v>45112</v>
      </c>
      <c r="C233" s="14">
        <v>45190</v>
      </c>
      <c r="D233" s="14">
        <v>45177</v>
      </c>
      <c r="E233" s="15" t="s">
        <v>398</v>
      </c>
      <c r="F233" s="15" t="s">
        <v>16</v>
      </c>
      <c r="G233" s="16">
        <v>1</v>
      </c>
      <c r="H233" s="17" t="s">
        <v>399</v>
      </c>
    </row>
    <row r="234" spans="1:8" x14ac:dyDescent="0.3">
      <c r="A234" s="18" t="s">
        <v>97</v>
      </c>
      <c r="B234" s="19">
        <v>45160</v>
      </c>
      <c r="C234" s="19">
        <v>45190</v>
      </c>
      <c r="D234" s="19">
        <v>45220</v>
      </c>
      <c r="E234" s="20" t="s">
        <v>400</v>
      </c>
      <c r="F234" s="20" t="s">
        <v>15</v>
      </c>
      <c r="G234" s="21">
        <v>4</v>
      </c>
      <c r="H234" s="22" t="s">
        <v>401</v>
      </c>
    </row>
    <row r="235" spans="1:8" x14ac:dyDescent="0.3">
      <c r="A235" s="13" t="s">
        <v>7</v>
      </c>
      <c r="B235" s="14">
        <v>45160</v>
      </c>
      <c r="C235" s="14">
        <v>45190</v>
      </c>
      <c r="D235" s="14">
        <v>45219</v>
      </c>
      <c r="E235" s="15" t="s">
        <v>402</v>
      </c>
      <c r="F235" s="15" t="s">
        <v>16</v>
      </c>
      <c r="G235" s="16">
        <v>50</v>
      </c>
      <c r="H235" s="17" t="s">
        <v>403</v>
      </c>
    </row>
    <row r="236" spans="1:8" x14ac:dyDescent="0.3">
      <c r="A236" s="18" t="s">
        <v>252</v>
      </c>
      <c r="B236" s="19">
        <v>45160</v>
      </c>
      <c r="C236" s="19">
        <v>45190</v>
      </c>
      <c r="D236" s="19">
        <v>45220</v>
      </c>
      <c r="E236" s="20" t="s">
        <v>400</v>
      </c>
      <c r="F236" s="20" t="s">
        <v>15</v>
      </c>
      <c r="G236" s="21">
        <v>150</v>
      </c>
      <c r="H236" s="22" t="s">
        <v>404</v>
      </c>
    </row>
    <row r="237" spans="1:8" x14ac:dyDescent="0.3">
      <c r="A237" s="13" t="s">
        <v>63</v>
      </c>
      <c r="B237" s="14">
        <v>45134</v>
      </c>
      <c r="C237" s="14">
        <v>45191</v>
      </c>
      <c r="D237" s="14">
        <v>45170</v>
      </c>
      <c r="E237" s="15" t="s">
        <v>405</v>
      </c>
      <c r="F237" s="15" t="s">
        <v>16</v>
      </c>
      <c r="G237" s="16">
        <v>9</v>
      </c>
      <c r="H237" s="17" t="s">
        <v>406</v>
      </c>
    </row>
    <row r="238" spans="1:8" x14ac:dyDescent="0.3">
      <c r="A238" s="18" t="s">
        <v>63</v>
      </c>
      <c r="B238" s="19">
        <v>45134</v>
      </c>
      <c r="C238" s="19">
        <v>45191</v>
      </c>
      <c r="D238" s="19">
        <v>45170</v>
      </c>
      <c r="E238" s="20" t="s">
        <v>405</v>
      </c>
      <c r="F238" s="20" t="s">
        <v>16</v>
      </c>
      <c r="G238" s="21">
        <v>13</v>
      </c>
      <c r="H238" s="22" t="s">
        <v>407</v>
      </c>
    </row>
    <row r="239" spans="1:8" x14ac:dyDescent="0.3">
      <c r="A239" s="13" t="s">
        <v>63</v>
      </c>
      <c r="B239" s="14">
        <v>45134</v>
      </c>
      <c r="C239" s="14">
        <v>45191</v>
      </c>
      <c r="D239" s="14">
        <v>45170</v>
      </c>
      <c r="E239" s="15" t="s">
        <v>405</v>
      </c>
      <c r="F239" s="15" t="s">
        <v>16</v>
      </c>
      <c r="G239" s="16">
        <v>3</v>
      </c>
      <c r="H239" s="17" t="s">
        <v>408</v>
      </c>
    </row>
    <row r="240" spans="1:8" x14ac:dyDescent="0.3">
      <c r="A240" s="18" t="s">
        <v>63</v>
      </c>
      <c r="B240" s="19">
        <v>45134</v>
      </c>
      <c r="C240" s="19">
        <v>45191</v>
      </c>
      <c r="D240" s="19">
        <v>45170</v>
      </c>
      <c r="E240" s="20" t="s">
        <v>405</v>
      </c>
      <c r="F240" s="20" t="s">
        <v>16</v>
      </c>
      <c r="G240" s="21">
        <v>12</v>
      </c>
      <c r="H240" s="22" t="s">
        <v>409</v>
      </c>
    </row>
    <row r="241" spans="1:8" x14ac:dyDescent="0.3">
      <c r="A241" s="13" t="s">
        <v>5</v>
      </c>
      <c r="B241" s="14">
        <v>45141</v>
      </c>
      <c r="C241" s="14">
        <v>45191</v>
      </c>
      <c r="D241" s="14">
        <v>45199</v>
      </c>
      <c r="E241" s="15" t="s">
        <v>410</v>
      </c>
      <c r="F241" s="15" t="s">
        <v>16</v>
      </c>
      <c r="G241" s="16">
        <v>20</v>
      </c>
      <c r="H241" s="17" t="s">
        <v>411</v>
      </c>
    </row>
    <row r="242" spans="1:8" x14ac:dyDescent="0.3">
      <c r="A242" s="18" t="s">
        <v>14</v>
      </c>
      <c r="B242" s="19">
        <v>45136</v>
      </c>
      <c r="C242" s="19">
        <v>45194</v>
      </c>
      <c r="D242" s="19">
        <v>45199</v>
      </c>
      <c r="E242" s="20" t="s">
        <v>412</v>
      </c>
      <c r="F242" s="20" t="s">
        <v>15</v>
      </c>
      <c r="G242" s="21">
        <v>10</v>
      </c>
      <c r="H242" s="22" t="s">
        <v>413</v>
      </c>
    </row>
    <row r="243" spans="1:8" x14ac:dyDescent="0.3">
      <c r="A243" s="13" t="s">
        <v>7</v>
      </c>
      <c r="B243" s="14">
        <v>45149</v>
      </c>
      <c r="C243" s="14">
        <v>45194</v>
      </c>
      <c r="D243" s="14">
        <v>45215</v>
      </c>
      <c r="E243" s="15" t="s">
        <v>156</v>
      </c>
      <c r="F243" s="15" t="s">
        <v>15</v>
      </c>
      <c r="G243" s="16">
        <v>240</v>
      </c>
      <c r="H243" s="17" t="s">
        <v>414</v>
      </c>
    </row>
    <row r="244" spans="1:8" x14ac:dyDescent="0.3">
      <c r="A244" s="18" t="s">
        <v>7</v>
      </c>
      <c r="B244" s="19">
        <v>45152</v>
      </c>
      <c r="C244" s="19">
        <v>45194</v>
      </c>
      <c r="D244" s="19">
        <v>45214</v>
      </c>
      <c r="E244" s="20" t="s">
        <v>415</v>
      </c>
      <c r="F244" s="20" t="s">
        <v>16</v>
      </c>
      <c r="G244" s="21">
        <v>139</v>
      </c>
      <c r="H244" s="22" t="s">
        <v>416</v>
      </c>
    </row>
    <row r="245" spans="1:8" x14ac:dyDescent="0.3">
      <c r="A245" s="13" t="s">
        <v>11</v>
      </c>
      <c r="B245" s="14">
        <v>45136</v>
      </c>
      <c r="C245" s="14">
        <v>45194</v>
      </c>
      <c r="D245" s="14">
        <v>45199</v>
      </c>
      <c r="E245" s="15" t="s">
        <v>412</v>
      </c>
      <c r="F245" s="15" t="s">
        <v>15</v>
      </c>
      <c r="G245" s="16">
        <v>13</v>
      </c>
      <c r="H245" s="17" t="s">
        <v>417</v>
      </c>
    </row>
    <row r="246" spans="1:8" x14ac:dyDescent="0.3">
      <c r="A246" s="18" t="s">
        <v>6</v>
      </c>
      <c r="B246" s="19">
        <v>45160</v>
      </c>
      <c r="C246" s="19">
        <v>45195</v>
      </c>
      <c r="D246" s="19">
        <v>45205</v>
      </c>
      <c r="E246" s="20" t="s">
        <v>395</v>
      </c>
      <c r="F246" s="20" t="s">
        <v>16</v>
      </c>
      <c r="G246" s="21">
        <v>54</v>
      </c>
      <c r="H246" s="22" t="s">
        <v>418</v>
      </c>
    </row>
    <row r="247" spans="1:8" x14ac:dyDescent="0.3">
      <c r="A247" s="13" t="s">
        <v>86</v>
      </c>
      <c r="B247" s="14">
        <v>45161</v>
      </c>
      <c r="C247" s="14">
        <v>45196</v>
      </c>
      <c r="D247" s="14">
        <v>45221</v>
      </c>
      <c r="E247" s="15" t="s">
        <v>419</v>
      </c>
      <c r="F247" s="15" t="s">
        <v>16</v>
      </c>
      <c r="G247" s="16">
        <v>21</v>
      </c>
      <c r="H247" s="17" t="s">
        <v>420</v>
      </c>
    </row>
    <row r="248" spans="1:8" x14ac:dyDescent="0.3">
      <c r="A248" s="18" t="s">
        <v>5</v>
      </c>
      <c r="B248" s="19">
        <v>45153</v>
      </c>
      <c r="C248" s="19">
        <v>45196</v>
      </c>
      <c r="D248" s="19">
        <v>45185</v>
      </c>
      <c r="E248" s="20" t="s">
        <v>421</v>
      </c>
      <c r="F248" s="20" t="s">
        <v>15</v>
      </c>
      <c r="G248" s="21">
        <v>53</v>
      </c>
      <c r="H248" s="22" t="s">
        <v>422</v>
      </c>
    </row>
    <row r="249" spans="1:8" x14ac:dyDescent="0.3">
      <c r="A249" s="13" t="s">
        <v>5</v>
      </c>
      <c r="B249" s="14">
        <v>45161</v>
      </c>
      <c r="C249" s="14">
        <v>45196</v>
      </c>
      <c r="D249" s="14">
        <v>45221</v>
      </c>
      <c r="E249" s="15" t="s">
        <v>419</v>
      </c>
      <c r="F249" s="15" t="s">
        <v>16</v>
      </c>
      <c r="G249" s="16">
        <v>95</v>
      </c>
      <c r="H249" s="17" t="s">
        <v>423</v>
      </c>
    </row>
    <row r="250" spans="1:8" x14ac:dyDescent="0.3">
      <c r="A250" s="18" t="s">
        <v>63</v>
      </c>
      <c r="B250" s="19">
        <v>45155</v>
      </c>
      <c r="C250" s="19">
        <v>45196</v>
      </c>
      <c r="D250" s="19">
        <v>45215</v>
      </c>
      <c r="E250" s="20" t="s">
        <v>89</v>
      </c>
      <c r="F250" s="20" t="s">
        <v>16</v>
      </c>
      <c r="G250" s="21">
        <v>2</v>
      </c>
      <c r="H250" s="22" t="s">
        <v>90</v>
      </c>
    </row>
    <row r="251" spans="1:8" x14ac:dyDescent="0.3">
      <c r="A251" s="13" t="s">
        <v>63</v>
      </c>
      <c r="B251" s="14">
        <v>45189</v>
      </c>
      <c r="C251" s="14">
        <v>45196</v>
      </c>
      <c r="D251" s="14">
        <v>45250</v>
      </c>
      <c r="E251" s="15" t="s">
        <v>89</v>
      </c>
      <c r="F251" s="15" t="s">
        <v>16</v>
      </c>
      <c r="G251" s="16">
        <v>1</v>
      </c>
      <c r="H251" s="17" t="s">
        <v>90</v>
      </c>
    </row>
    <row r="252" spans="1:8" x14ac:dyDescent="0.3">
      <c r="A252" s="18" t="s">
        <v>66</v>
      </c>
      <c r="B252" s="19">
        <v>45156</v>
      </c>
      <c r="C252" s="19">
        <v>45196</v>
      </c>
      <c r="D252" s="19">
        <v>45150</v>
      </c>
      <c r="E252" s="20" t="s">
        <v>424</v>
      </c>
      <c r="F252" s="20" t="s">
        <v>99</v>
      </c>
      <c r="G252" s="21">
        <v>110</v>
      </c>
      <c r="H252" s="22" t="s">
        <v>425</v>
      </c>
    </row>
    <row r="253" spans="1:8" x14ac:dyDescent="0.3">
      <c r="A253" s="13" t="s">
        <v>76</v>
      </c>
      <c r="B253" s="14">
        <v>45161</v>
      </c>
      <c r="C253" s="14">
        <v>45196</v>
      </c>
      <c r="D253" s="14">
        <v>45233</v>
      </c>
      <c r="E253" s="15" t="s">
        <v>426</v>
      </c>
      <c r="F253" s="15" t="s">
        <v>16</v>
      </c>
      <c r="G253" s="16">
        <v>80</v>
      </c>
      <c r="H253" s="17" t="s">
        <v>427</v>
      </c>
    </row>
    <row r="254" spans="1:8" x14ac:dyDescent="0.3">
      <c r="A254" s="18" t="s">
        <v>6</v>
      </c>
      <c r="B254" s="19">
        <v>45154</v>
      </c>
      <c r="C254" s="19">
        <v>45196</v>
      </c>
      <c r="D254" s="19">
        <v>45200</v>
      </c>
      <c r="E254" s="20" t="s">
        <v>428</v>
      </c>
      <c r="F254" s="20" t="s">
        <v>99</v>
      </c>
      <c r="G254" s="21">
        <v>44</v>
      </c>
      <c r="H254" s="22" t="s">
        <v>429</v>
      </c>
    </row>
    <row r="255" spans="1:8" x14ac:dyDescent="0.3">
      <c r="A255" s="13" t="s">
        <v>6</v>
      </c>
      <c r="B255" s="14">
        <v>45154</v>
      </c>
      <c r="C255" s="14">
        <v>45196</v>
      </c>
      <c r="D255" s="14">
        <v>45200</v>
      </c>
      <c r="E255" s="15" t="s">
        <v>428</v>
      </c>
      <c r="F255" s="15" t="s">
        <v>99</v>
      </c>
      <c r="G255" s="16">
        <v>22</v>
      </c>
      <c r="H255" s="17" t="s">
        <v>430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043B263-9323-43AE-A469-90F10B3677EB}"/>
</file>

<file path=customXml/itemProps2.xml><?xml version="1.0" encoding="utf-8"?>
<ds:datastoreItem xmlns:ds="http://schemas.openxmlformats.org/officeDocument/2006/customXml" ds:itemID="{B3BA8219-99D3-470D-9DE4-E21C87C0BD92}"/>
</file>

<file path=customXml/itemProps3.xml><?xml version="1.0" encoding="utf-8"?>
<ds:datastoreItem xmlns:ds="http://schemas.openxmlformats.org/officeDocument/2006/customXml" ds:itemID="{5932A20B-F538-4D97-9BE1-0551A842EE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2023-09-28T15:42:49Z</dcterms:modified>
  <cp:category>Calculating WARN Report</cp:category>
</cp:coreProperties>
</file>