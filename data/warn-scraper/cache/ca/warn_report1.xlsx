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dd.sharepoint.com/sites/WSB-COWSD-380-PCU/Shared Documents/Website Management/3. Webpage Updates/Layoff Services WARN/2026/"/>
    </mc:Choice>
  </mc:AlternateContent>
  <xr:revisionPtr revIDLastSave="0" documentId="8_{89117950-55BE-4A5D-A858-5D006DBD2A1A}" xr6:coauthVersionLast="47" xr6:coauthVersionMax="47" xr10:uidLastSave="{00000000-0000-0000-0000-000000000000}"/>
  <bookViews>
    <workbookView xWindow="-120" yWindow="-120" windowWidth="29040" windowHeight="1572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 l="1"/>
  <c r="B8" i="2"/>
  <c r="B6" i="2"/>
  <c r="B9" i="2"/>
  <c r="B5" i="2"/>
  <c r="B7" i="2"/>
  <c r="B4" i="2"/>
</calcChain>
</file>

<file path=xl/sharedStrings.xml><?xml version="1.0" encoding="utf-8"?>
<sst xmlns="http://schemas.openxmlformats.org/spreadsheetml/2006/main" count="251" uniqueCount="143">
  <si>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</si>
  <si>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</si>
  <si>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</si>
  <si>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</si>
  <si>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</si>
  <si>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</si>
  <si>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</si>
  <si>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</si>
  <si>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</si>
  <si>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</si>
  <si>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</si>
  <si>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</si>
  <si>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</si>
  <si>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</si>
  <si>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</si>
  <si>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</si>
  <si>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</si>
  <si>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</si>
  <si>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</si>
  <si>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</si>
  <si>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</si>
  <si>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</si>
  <si>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</si>
  <si>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</si>
  <si>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</si>
  <si>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</si>
  <si>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</si>
  <si>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</si>
  <si>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</si>
  <si>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</si>
  <si>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</si>
  <si>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</si>
  <si>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</si>
  <si>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</si>
  <si>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</si>
  <si>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</si>
  <si>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</si>
  <si>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</si>
  <si>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</si>
  <si>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</si>
  <si>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</si>
  <si>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</si>
  <si>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</si>
  <si>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</si>
  <si>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</si>
  <si>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</si>
  <si>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</si>
  <si>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</si>
  <si>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</si>
  <si>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</si>
  <si>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</si>
  <si>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</si>
  <si>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Closure Permanent</t>
  </si>
  <si>
    <t>Orange County</t>
  </si>
  <si>
    <t>San Bernardino County</t>
  </si>
  <si>
    <t>San Mateo County</t>
  </si>
  <si>
    <t>Sacramento County</t>
  </si>
  <si>
    <t>Contra Costa County</t>
  </si>
  <si>
    <t>Genentech, Inc.</t>
  </si>
  <si>
    <t>1 DNA Way  South San Francisco CA 94080</t>
  </si>
  <si>
    <t>Chevron</t>
  </si>
  <si>
    <t>5001 Executive Parkway, Suite 200  San Ramon CA 94583</t>
  </si>
  <si>
    <t>Blue Diamond Growers</t>
  </si>
  <si>
    <t>1802 C Street  Sacramento CA 95811</t>
  </si>
  <si>
    <t>DHL Supply Chain</t>
  </si>
  <si>
    <t>McDonald's Corporation</t>
  </si>
  <si>
    <t>17030 Green Drive  City of Industry CA 91745</t>
  </si>
  <si>
    <t>Athwal FDS Corporation</t>
  </si>
  <si>
    <t>932 West Mill Street  San Bernardino CA 92410</t>
  </si>
  <si>
    <t>Kingdom Animalia, LLC (Hourglass Cosmetics)</t>
  </si>
  <si>
    <t>17110 South Main Street  Carson CA 90248</t>
  </si>
  <si>
    <t>701A Sally Pl  Fullerton CA 92831</t>
  </si>
  <si>
    <t>Obsidian</t>
  </si>
  <si>
    <t>100 Spectrum Center Dr.  Irvine CA 92618</t>
  </si>
  <si>
    <t>LeeMAH Electronics</t>
  </si>
  <si>
    <t>155 South Hill Drive  Brisbane CA 94005</t>
  </si>
  <si>
    <t>Alameda County</t>
  </si>
  <si>
    <t>Xpress Delivery LLC (DSJ9)</t>
  </si>
  <si>
    <t>5800 Coliseum Way  Oakland CA 94621</t>
  </si>
  <si>
    <t>San Francisco County</t>
  </si>
  <si>
    <t>OnPoint Logistics LLC</t>
  </si>
  <si>
    <t>749 Toland Street  San Francisco CA 94124</t>
  </si>
  <si>
    <t>Butte County</t>
  </si>
  <si>
    <t>6th Street Center for Youth (Youth for Change)</t>
  </si>
  <si>
    <t>130 W. 6th Street  Chico CA 95928</t>
  </si>
  <si>
    <t>Sentinel Restaurant &amp; Hospitality Group LLC</t>
  </si>
  <si>
    <t>627 Sleepy Hollow Ln  Laguna Beach CA 92651</t>
  </si>
  <si>
    <t>The Vons Companies Inc.</t>
  </si>
  <si>
    <t>845 E. California St.  Pasadena CA 91106</t>
  </si>
  <si>
    <t>GEODIS</t>
  </si>
  <si>
    <t>1950 Palmetto Ave.  Redlands CA 92374</t>
  </si>
  <si>
    <t>Conduent</t>
  </si>
  <si>
    <t>11165 Knott Avenue, Suite D  Cypress CA 90630</t>
  </si>
  <si>
    <t>GMRI, Inc. dba Yard House</t>
  </si>
  <si>
    <t>1875 Newport Blvd., A219  Costa Mesa CA 92627</t>
  </si>
  <si>
    <t>GXO Logistics Worldwide, LLC</t>
  </si>
  <si>
    <t>7010 Cajon Blvd.  San Bernardino CA 92407</t>
  </si>
  <si>
    <t>Udemy, Inc.</t>
  </si>
  <si>
    <t>600 Harrison Street, 3rd Floor  San Francisco CA 94107</t>
  </si>
  <si>
    <t>Yolo County</t>
  </si>
  <si>
    <t>AWCS, LLC (Cottonwood Post-Acute Rehab</t>
  </si>
  <si>
    <t>Closure Temporary</t>
  </si>
  <si>
    <t>625 Cottonwood St.  Woodland CA 95695</t>
  </si>
  <si>
    <t>Santa Clara County</t>
  </si>
  <si>
    <t>Coursera, Inc.</t>
  </si>
  <si>
    <t>2440West El Camino Real, Suite 500  Mountain View CA 94040</t>
  </si>
  <si>
    <t>ELC Beauty LLC (Too Faced Cosmetics, LLC)</t>
  </si>
  <si>
    <t>18231 W. McDurmott #100  Irvine CA 92614</t>
  </si>
  <si>
    <t>Eargo, Inc.</t>
  </si>
  <si>
    <t>2665 North First Street, Suite 3000  San Jose CA 95134</t>
  </si>
  <si>
    <t>Santa Barbara County</t>
  </si>
  <si>
    <t>Red Lobster Restaurants LLC</t>
  </si>
  <si>
    <t>1525 S. Bradley Road  Santa Maria CA 93454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</si>
  <si>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01/01/2023 - 07/20/2026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</si>
  <si>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Phillips 66</t>
  </si>
  <si>
    <t>1660 W. Anaheim Street  Wilmington CA 90744</t>
  </si>
  <si>
    <t>NBCUniversal Media, LLC - 1320</t>
  </si>
  <si>
    <t>100 Universal City Plaza, Bldg. 1320  Universal City CA 91608</t>
  </si>
  <si>
    <t>NBCUniversal Media, LLC - 1360</t>
  </si>
  <si>
    <t>100 Universal City Plaza, Bldg. 1360  Universal City CA 91608</t>
  </si>
  <si>
    <t>NBCUniversal Media, LLC -1440</t>
  </si>
  <si>
    <t>100 Universal City Plaza, Bldg. 1440  Universal City CA 91608</t>
  </si>
  <si>
    <t>NBCUniversal Media, LLC - 1460</t>
  </si>
  <si>
    <t>100 Universal City Plaza, Bldg. 1460  Universal City CA 91608</t>
  </si>
  <si>
    <t>Aramark Campus, LLC</t>
  </si>
  <si>
    <t>1259 E Colton Avenue  Redlands CA 92374</t>
  </si>
  <si>
    <t>Monterey Mushrooms, LLC</t>
  </si>
  <si>
    <t>642 Hale Ave.  Morgan Hill CA 95037</t>
  </si>
  <si>
    <t>Tulare County</t>
  </si>
  <si>
    <t>Ventura Coastal</t>
  </si>
  <si>
    <t>Layoff Temporary</t>
  </si>
  <si>
    <t>531 W. Poplar Avenue  Tipton CA 93272</t>
  </si>
  <si>
    <t>Magic Leap, Inc.</t>
  </si>
  <si>
    <t>1376 Bordeaux Dr.  Sunnyvale CA 94089</t>
  </si>
  <si>
    <t>Wind &amp; Sea Restaurant</t>
  </si>
  <si>
    <t>34699 Golden Lantern  Dana Point CA 92629</t>
  </si>
  <si>
    <t>Solano County</t>
  </si>
  <si>
    <t>DesigneRX Pharmaceuticals, Inc.</t>
  </si>
  <si>
    <t>4941 Allison Parkway, Suite B  Vacaville CA 95688</t>
  </si>
  <si>
    <t>Sonoma County</t>
  </si>
  <si>
    <t>Queen City Staffing</t>
  </si>
  <si>
    <t>2717 Giffen Avenue  Santa Rosa CA 95407</t>
  </si>
  <si>
    <r>
      <t xml:space="preserve">WARN REPORT - </t>
    </r>
    <r>
      <rPr>
        <b/>
        <sz val="12"/>
        <rFont val="Calibri"/>
        <family val="2"/>
        <scheme val="minor"/>
      </rPr>
      <t>07/01/26 to 07/20/2026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I38.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</si>
</sst>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[$-10409]mm/dd/yyyy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33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1" fillId="0" borderId="0" xfId="0" applyFont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20" dataDxfId="19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8"/>
    <tableColumn id="2" xr3:uid="{BC59C82C-A192-4C58-973D-25AB492E21BC}" name="Total" dataDxfId="17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38" totalsRowShown="0" headerRowDxfId="31" dataDxfId="30">
  <autoFilter ref="A2:I38" xr:uid="{1F69E8FD-21FF-4B81-951D-D7EC70F8E5F9}"/>
  <sortState xmlns:xlrd2="http://schemas.microsoft.com/office/spreadsheetml/2017/richdata2" ref="A3:I26">
    <sortCondition ref="C2:C26"/>
  </sortState>
  <tableColumns count="9">
    <tableColumn id="1" xr3:uid="{3E60720E-46D7-48F7-AF17-837D42D08A11}" name="County/Parish" dataDxfId="29"/>
    <tableColumn id="2" xr3:uid="{058DED91-D77E-48B6-A71D-06D4A25AA391}" name="Notice_x000a_Date" dataDxfId="28"/>
    <tableColumn id="3" xr3:uid="{C6D12265-C94C-4E06-8034-3C717447E155}" name="Processed_x000a_Date" dataDxfId="27"/>
    <tableColumn id="4" xr3:uid="{B3ED9634-5328-42A8-B322-3BC02B1B09B6}" name="Effective _x000a_Date" dataDxfId="26"/>
    <tableColumn id="5" xr3:uid="{9D38EF5A-DEC2-4452-98D6-CF4FB3342379}" name="Company" dataDxfId="25"/>
    <tableColumn id="6" xr3:uid="{211DDDC0-B68A-4CB6-AB53-3FF3E63F26A0}" name="Layoff/_x000a_Closure" dataDxfId="24"/>
    <tableColumn id="7" xr3:uid="{5A996A7E-F604-41CE-AC0B-D6BC2FB09F5A}" name="No. Of_x000a_Employees" dataDxfId="23"/>
    <tableColumn id="11" xr3:uid="{6BB24B8B-7A22-4DE0-B907-BC4F68AE8678}" name="Address" dataDxfId="22"/>
    <tableColumn id="8" xr3:uid="{695F1FD1-01CF-43F8-8B40-37D320A0AC01}" name="Related Industry" dataDxfId="2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109375" defaultRowHeight="15" x14ac:dyDescent="0.25"/>
  <cols>
    <col min="1" max="1" width="74" style="3" bestFit="1" customWidth="1"/>
  </cols>
  <sheetData>
    <row r="1" spans="1:1" ht="135" x14ac:dyDescent="0.25">
      <c r="A1" s="10" t="s">
        <v>28</v>
      </c>
    </row>
    <row r="2" spans="1:1" ht="21" x14ac:dyDescent="0.35">
      <c r="A2" s="12" t="s">
        <v>20</v>
      </c>
    </row>
    <row r="3" spans="1:1" x14ac:dyDescent="0.25">
      <c r="A3" s="13" t="s">
        <v>18</v>
      </c>
    </row>
    <row r="4" spans="1:1" x14ac:dyDescent="0.25">
      <c r="A4" s="13" t="s">
        <v>19</v>
      </c>
    </row>
    <row r="5" spans="1:1" x14ac:dyDescent="0.25">
      <c r="A5" s="13" t="s">
        <v>23</v>
      </c>
    </row>
    <row r="6" spans="1:1" x14ac:dyDescent="0.2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109375" defaultRowHeight="15" x14ac:dyDescent="0.25"/>
  <cols>
    <col min="1" max="1" width="29.7109375" style="3" bestFit="1" customWidth="1"/>
    <col min="2" max="2" width="5.5703125" style="3" bestFit="1" customWidth="1"/>
  </cols>
  <sheetData>
    <row r="1" spans="1:2" ht="78.75" x14ac:dyDescent="0.25">
      <c r="A1" s="10" t="s">
        <v>21</v>
      </c>
    </row>
    <row r="2" spans="1:2" x14ac:dyDescent="0.25">
      <c r="A2" s="14" t="s">
        <v>16</v>
      </c>
      <c r="B2" s="15" t="s">
        <v>15</v>
      </c>
    </row>
    <row r="3" spans="1:2" x14ac:dyDescent="0.25">
      <c r="A3" s="2" t="s">
        <v>17</v>
      </c>
      <c r="B3" s="11">
        <f>SUM('Detailed WARN Report '!G:G)</f>
        <v>2560</v>
      </c>
    </row>
    <row r="4" spans="1:2" x14ac:dyDescent="0.25">
      <c r="A4" s="2" t="s">
        <v>9</v>
      </c>
      <c r="B4" s="11">
        <f>COUNTIF('Detailed WARN Report '!F:F,"Layoff Permanent")</f>
        <v>15</v>
      </c>
    </row>
    <row r="5" spans="1:2" x14ac:dyDescent="0.25">
      <c r="A5" s="2" t="s">
        <v>10</v>
      </c>
      <c r="B5" s="11">
        <f>COUNTIF('Detailed WARN Report '!F:F,"Layoff Temporary")</f>
        <v>1</v>
      </c>
    </row>
    <row r="6" spans="1:2" x14ac:dyDescent="0.25">
      <c r="A6" s="2" t="s">
        <v>11</v>
      </c>
      <c r="B6" s="11">
        <f>COUNTIF('Detailed WARN Report '!F:F,"Layoff Not known at this time")</f>
        <v>0</v>
      </c>
    </row>
    <row r="7" spans="1:2" x14ac:dyDescent="0.25">
      <c r="A7" s="2" t="s">
        <v>12</v>
      </c>
      <c r="B7" s="11">
        <f>COUNTIF('Detailed WARN Report '!F:F,"Closure Permanent")</f>
        <v>19</v>
      </c>
    </row>
    <row r="8" spans="1:2" x14ac:dyDescent="0.25">
      <c r="A8" s="2" t="s">
        <v>13</v>
      </c>
      <c r="B8" s="11">
        <f>COUNTIF('Detailed WARN Report '!F:F,"Closure Temporary")</f>
        <v>1</v>
      </c>
    </row>
    <row r="9" spans="1:2" x14ac:dyDescent="0.25">
      <c r="A9" s="2" t="s">
        <v>14</v>
      </c>
      <c r="B9" s="11">
        <f>COUNTIF('Detailed WARN Report '!F:F,"Closure Not known at this time")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38"/>
  <sheetViews>
    <sheetView zoomScaleNormal="100" workbookViewId="0"/>
  </sheetViews>
  <sheetFormatPr defaultColWidth="161.42578125" defaultRowHeight="15" x14ac:dyDescent="0.25"/>
  <cols>
    <col min="1" max="1" width="29" style="3" bestFit="1" customWidth="1"/>
    <col min="2" max="2" width="8.7109375" style="8" bestFit="1" customWidth="1"/>
    <col min="3" max="3" width="12.140625" style="8" bestFit="1" customWidth="1"/>
    <col min="4" max="4" width="10.28515625" style="8" bestFit="1" customWidth="1"/>
    <col min="5" max="5" width="34.42578125" style="10" bestFit="1" customWidth="1"/>
    <col min="6" max="6" width="14.28515625" style="3" bestFit="1" customWidth="1"/>
    <col min="7" max="7" width="12.140625" style="3" bestFit="1" customWidth="1"/>
    <col min="8" max="8" width="45.28515625" style="3" bestFit="1" customWidth="1"/>
    <col min="9" max="9" width="51.85546875" style="3" bestFit="1" customWidth="1"/>
    <col min="10" max="10" width="22.5703125" customWidth="1"/>
    <col min="11" max="11" width="13.140625" customWidth="1"/>
    <col min="12" max="12" width="12.7109375" customWidth="1"/>
    <col min="13" max="13" width="11.85546875" customWidth="1"/>
    <col min="14" max="14" width="15" customWidth="1"/>
  </cols>
  <sheetData>
    <row r="1" spans="1:9" ht="102" x14ac:dyDescent="0.25">
      <c r="A1" s="16" t="s">
        <v>142</v>
      </c>
      <c r="E1" s="3"/>
    </row>
    <row r="2" spans="1:9" ht="24.75" x14ac:dyDescent="0.25">
      <c r="A2" s="26" t="s">
        <v>0</v>
      </c>
      <c r="B2" s="27" t="s">
        <v>7</v>
      </c>
      <c r="C2" s="27" t="s">
        <v>22</v>
      </c>
      <c r="D2" s="27" t="s">
        <v>8</v>
      </c>
      <c r="E2" s="26" t="s">
        <v>1</v>
      </c>
      <c r="F2" s="26" t="s">
        <v>2</v>
      </c>
      <c r="G2" s="26" t="s">
        <v>3</v>
      </c>
      <c r="H2" s="26" t="s">
        <v>4</v>
      </c>
      <c r="I2" s="26" t="s">
        <v>29</v>
      </c>
    </row>
    <row r="3" spans="1:9" x14ac:dyDescent="0.25">
      <c r="A3" s="28" t="s">
        <v>5</v>
      </c>
      <c r="B3" s="29">
        <v>46203</v>
      </c>
      <c r="C3" s="29">
        <v>46204</v>
      </c>
      <c r="D3" s="29">
        <v>46266</v>
      </c>
      <c r="E3" s="28" t="s">
        <v>65</v>
      </c>
      <c r="F3" s="28" t="s">
        <v>52</v>
      </c>
      <c r="G3" s="30">
        <v>2</v>
      </c>
      <c r="H3" s="28" t="s">
        <v>66</v>
      </c>
      <c r="I3" s="31" t="s">
        <v>47</v>
      </c>
    </row>
    <row r="4" spans="1:9" x14ac:dyDescent="0.25">
      <c r="A4" s="28" t="s">
        <v>55</v>
      </c>
      <c r="B4" s="29">
        <v>46199</v>
      </c>
      <c r="C4" s="29">
        <v>46204</v>
      </c>
      <c r="D4" s="29">
        <v>46232</v>
      </c>
      <c r="E4" s="28" t="s">
        <v>58</v>
      </c>
      <c r="F4" s="28" t="s">
        <v>6</v>
      </c>
      <c r="G4" s="30">
        <v>103</v>
      </c>
      <c r="H4" s="28" t="s">
        <v>59</v>
      </c>
      <c r="I4" s="31" t="s">
        <v>41</v>
      </c>
    </row>
    <row r="5" spans="1:9" x14ac:dyDescent="0.25">
      <c r="A5" s="28" t="s">
        <v>54</v>
      </c>
      <c r="B5" s="29">
        <v>46203</v>
      </c>
      <c r="C5" s="29">
        <v>46204</v>
      </c>
      <c r="D5" s="29">
        <v>46264</v>
      </c>
      <c r="E5" s="28" t="s">
        <v>67</v>
      </c>
      <c r="F5" s="28" t="s">
        <v>6</v>
      </c>
      <c r="G5" s="30">
        <v>35</v>
      </c>
      <c r="H5" s="28" t="s">
        <v>68</v>
      </c>
      <c r="I5" s="31" t="s">
        <v>43</v>
      </c>
    </row>
    <row r="6" spans="1:9" x14ac:dyDescent="0.25">
      <c r="A6" s="28" t="s">
        <v>56</v>
      </c>
      <c r="B6" s="29">
        <v>46205</v>
      </c>
      <c r="C6" s="29">
        <v>46205</v>
      </c>
      <c r="D6" s="29">
        <v>46269</v>
      </c>
      <c r="E6" s="28" t="s">
        <v>62</v>
      </c>
      <c r="F6" s="28" t="s">
        <v>52</v>
      </c>
      <c r="G6" s="30">
        <v>31</v>
      </c>
      <c r="H6" s="28" t="s">
        <v>63</v>
      </c>
      <c r="I6" s="31" t="s">
        <v>34</v>
      </c>
    </row>
    <row r="7" spans="1:9" x14ac:dyDescent="0.25">
      <c r="A7" s="28" t="s">
        <v>5</v>
      </c>
      <c r="B7" s="29">
        <v>46205</v>
      </c>
      <c r="C7" s="29">
        <v>46205</v>
      </c>
      <c r="D7" s="29">
        <v>46280</v>
      </c>
      <c r="E7" s="28" t="s">
        <v>69</v>
      </c>
      <c r="F7" s="28" t="s">
        <v>52</v>
      </c>
      <c r="G7" s="30">
        <v>7</v>
      </c>
      <c r="H7" s="28" t="s">
        <v>70</v>
      </c>
      <c r="I7" s="31" t="s">
        <v>35</v>
      </c>
    </row>
    <row r="8" spans="1:9" x14ac:dyDescent="0.25">
      <c r="A8" s="28" t="s">
        <v>53</v>
      </c>
      <c r="B8" s="29">
        <v>46205</v>
      </c>
      <c r="C8" s="29">
        <v>46210</v>
      </c>
      <c r="D8" s="29">
        <v>46268</v>
      </c>
      <c r="E8" s="28" t="s">
        <v>64</v>
      </c>
      <c r="F8" s="28" t="s">
        <v>52</v>
      </c>
      <c r="G8" s="30">
        <v>33</v>
      </c>
      <c r="H8" s="28" t="s">
        <v>71</v>
      </c>
      <c r="I8" s="31" t="s">
        <v>37</v>
      </c>
    </row>
    <row r="9" spans="1:9" x14ac:dyDescent="0.25">
      <c r="A9" s="28" t="s">
        <v>53</v>
      </c>
      <c r="B9" s="29">
        <v>46209</v>
      </c>
      <c r="C9" s="29">
        <v>46210</v>
      </c>
      <c r="D9" s="29">
        <v>46269</v>
      </c>
      <c r="E9" s="28" t="s">
        <v>72</v>
      </c>
      <c r="F9" s="28" t="s">
        <v>6</v>
      </c>
      <c r="G9" s="30">
        <v>52</v>
      </c>
      <c r="H9" s="28" t="s">
        <v>73</v>
      </c>
      <c r="I9" s="31" t="s">
        <v>46</v>
      </c>
    </row>
    <row r="10" spans="1:9" x14ac:dyDescent="0.25">
      <c r="A10" s="28" t="s">
        <v>57</v>
      </c>
      <c r="B10" s="29">
        <v>46204</v>
      </c>
      <c r="C10" s="29">
        <v>46211</v>
      </c>
      <c r="D10" s="29">
        <v>46266</v>
      </c>
      <c r="E10" s="28" t="s">
        <v>60</v>
      </c>
      <c r="F10" s="28" t="s">
        <v>6</v>
      </c>
      <c r="G10" s="30">
        <v>180</v>
      </c>
      <c r="H10" s="28" t="s">
        <v>61</v>
      </c>
      <c r="I10" s="31" t="s">
        <v>31</v>
      </c>
    </row>
    <row r="11" spans="1:9" x14ac:dyDescent="0.25">
      <c r="A11" s="28" t="s">
        <v>55</v>
      </c>
      <c r="B11" s="29">
        <v>46210</v>
      </c>
      <c r="C11" s="29">
        <v>46211</v>
      </c>
      <c r="D11" s="29">
        <v>46273</v>
      </c>
      <c r="E11" s="28" t="s">
        <v>74</v>
      </c>
      <c r="F11" s="28" t="s">
        <v>52</v>
      </c>
      <c r="G11" s="30">
        <v>212</v>
      </c>
      <c r="H11" s="28" t="s">
        <v>75</v>
      </c>
      <c r="I11" s="31" t="s">
        <v>34</v>
      </c>
    </row>
    <row r="12" spans="1:9" x14ac:dyDescent="0.25">
      <c r="A12" s="28" t="s">
        <v>76</v>
      </c>
      <c r="B12" s="29">
        <v>46212</v>
      </c>
      <c r="C12" s="29">
        <v>46212</v>
      </c>
      <c r="D12" s="29">
        <v>46274</v>
      </c>
      <c r="E12" s="28" t="s">
        <v>77</v>
      </c>
      <c r="F12" s="28" t="s">
        <v>52</v>
      </c>
      <c r="G12" s="30">
        <v>80</v>
      </c>
      <c r="H12" s="30" t="s">
        <v>78</v>
      </c>
      <c r="I12" s="32" t="s">
        <v>37</v>
      </c>
    </row>
    <row r="13" spans="1:9" x14ac:dyDescent="0.25">
      <c r="A13" s="28" t="s">
        <v>79</v>
      </c>
      <c r="B13" s="29">
        <v>46212</v>
      </c>
      <c r="C13" s="29">
        <v>46212</v>
      </c>
      <c r="D13" s="29">
        <v>46272</v>
      </c>
      <c r="E13" s="28" t="s">
        <v>80</v>
      </c>
      <c r="F13" s="28" t="s">
        <v>52</v>
      </c>
      <c r="G13" s="30">
        <v>96</v>
      </c>
      <c r="H13" s="30" t="s">
        <v>81</v>
      </c>
      <c r="I13" s="32" t="s">
        <v>37</v>
      </c>
    </row>
    <row r="14" spans="1:9" x14ac:dyDescent="0.25">
      <c r="A14" s="28" t="s">
        <v>82</v>
      </c>
      <c r="B14" s="29">
        <v>46213</v>
      </c>
      <c r="C14" s="29">
        <v>46213</v>
      </c>
      <c r="D14" s="29">
        <v>46265</v>
      </c>
      <c r="E14" s="28" t="s">
        <v>83</v>
      </c>
      <c r="F14" s="28" t="s">
        <v>52</v>
      </c>
      <c r="G14" s="30">
        <v>6</v>
      </c>
      <c r="H14" s="30" t="s">
        <v>84</v>
      </c>
      <c r="I14" s="32" t="s">
        <v>45</v>
      </c>
    </row>
    <row r="15" spans="1:9" x14ac:dyDescent="0.25">
      <c r="A15" s="28" t="s">
        <v>53</v>
      </c>
      <c r="B15" s="29">
        <v>46211</v>
      </c>
      <c r="C15" s="29">
        <v>46213</v>
      </c>
      <c r="D15" s="29">
        <v>46273</v>
      </c>
      <c r="E15" s="28" t="s">
        <v>85</v>
      </c>
      <c r="F15" s="28" t="s">
        <v>52</v>
      </c>
      <c r="G15" s="30">
        <v>113</v>
      </c>
      <c r="H15" s="30" t="s">
        <v>86</v>
      </c>
      <c r="I15" s="32" t="s">
        <v>47</v>
      </c>
    </row>
    <row r="16" spans="1:9" x14ac:dyDescent="0.25">
      <c r="A16" s="28" t="s">
        <v>5</v>
      </c>
      <c r="B16" s="29">
        <v>46210</v>
      </c>
      <c r="C16" s="29">
        <v>46216</v>
      </c>
      <c r="D16" s="29">
        <v>46270</v>
      </c>
      <c r="E16" s="28" t="s">
        <v>87</v>
      </c>
      <c r="F16" s="28" t="s">
        <v>52</v>
      </c>
      <c r="G16" s="30">
        <v>55</v>
      </c>
      <c r="H16" s="30" t="s">
        <v>88</v>
      </c>
      <c r="I16" s="32" t="s">
        <v>36</v>
      </c>
    </row>
    <row r="17" spans="1:9" x14ac:dyDescent="0.25">
      <c r="A17" s="28" t="s">
        <v>54</v>
      </c>
      <c r="B17" s="29">
        <v>46209</v>
      </c>
      <c r="C17" s="29">
        <v>46216</v>
      </c>
      <c r="D17" s="29">
        <v>46268</v>
      </c>
      <c r="E17" s="28" t="s">
        <v>89</v>
      </c>
      <c r="F17" s="28" t="s">
        <v>52</v>
      </c>
      <c r="G17" s="30">
        <v>81</v>
      </c>
      <c r="H17" s="30" t="s">
        <v>90</v>
      </c>
      <c r="I17" s="32" t="s">
        <v>37</v>
      </c>
    </row>
    <row r="18" spans="1:9" x14ac:dyDescent="0.25">
      <c r="A18" s="28" t="s">
        <v>53</v>
      </c>
      <c r="B18" s="29">
        <v>46199</v>
      </c>
      <c r="C18" s="29">
        <v>46217</v>
      </c>
      <c r="D18" s="29">
        <v>46262</v>
      </c>
      <c r="E18" s="28" t="s">
        <v>91</v>
      </c>
      <c r="F18" s="28" t="s">
        <v>6</v>
      </c>
      <c r="G18" s="30">
        <v>51</v>
      </c>
      <c r="H18" s="30" t="s">
        <v>92</v>
      </c>
      <c r="I18" s="32" t="s">
        <v>41</v>
      </c>
    </row>
    <row r="19" spans="1:9" x14ac:dyDescent="0.25">
      <c r="A19" s="28" t="s">
        <v>53</v>
      </c>
      <c r="B19" s="29">
        <v>46217</v>
      </c>
      <c r="C19" s="29">
        <v>46217</v>
      </c>
      <c r="D19" s="29">
        <v>46279</v>
      </c>
      <c r="E19" s="28" t="s">
        <v>93</v>
      </c>
      <c r="F19" s="28" t="s">
        <v>52</v>
      </c>
      <c r="G19" s="30">
        <v>78</v>
      </c>
      <c r="H19" s="30" t="s">
        <v>94</v>
      </c>
      <c r="I19" s="32" t="s">
        <v>47</v>
      </c>
    </row>
    <row r="20" spans="1:9" x14ac:dyDescent="0.25">
      <c r="A20" s="28" t="s">
        <v>54</v>
      </c>
      <c r="B20" s="29">
        <v>46213</v>
      </c>
      <c r="C20" s="29">
        <v>46217</v>
      </c>
      <c r="D20" s="29">
        <v>46283</v>
      </c>
      <c r="E20" s="28" t="s">
        <v>95</v>
      </c>
      <c r="F20" s="28" t="s">
        <v>52</v>
      </c>
      <c r="G20" s="30">
        <v>46</v>
      </c>
      <c r="H20" s="30" t="s">
        <v>96</v>
      </c>
      <c r="I20" s="32" t="s">
        <v>37</v>
      </c>
    </row>
    <row r="21" spans="1:9" x14ac:dyDescent="0.25">
      <c r="A21" s="28" t="s">
        <v>79</v>
      </c>
      <c r="B21" s="29">
        <v>46217</v>
      </c>
      <c r="C21" s="29">
        <v>46217</v>
      </c>
      <c r="D21" s="29">
        <v>46276</v>
      </c>
      <c r="E21" s="28" t="s">
        <v>97</v>
      </c>
      <c r="F21" s="28" t="s">
        <v>6</v>
      </c>
      <c r="G21" s="30">
        <v>28</v>
      </c>
      <c r="H21" s="30" t="s">
        <v>98</v>
      </c>
      <c r="I21" s="32" t="s">
        <v>44</v>
      </c>
    </row>
    <row r="22" spans="1:9" x14ac:dyDescent="0.25">
      <c r="A22" s="28" t="s">
        <v>99</v>
      </c>
      <c r="B22" s="29">
        <v>46216</v>
      </c>
      <c r="C22" s="29">
        <v>46217</v>
      </c>
      <c r="D22" s="29">
        <v>46276</v>
      </c>
      <c r="E22" s="28" t="s">
        <v>100</v>
      </c>
      <c r="F22" s="28" t="s">
        <v>101</v>
      </c>
      <c r="G22" s="30">
        <v>158</v>
      </c>
      <c r="H22" s="30" t="s">
        <v>102</v>
      </c>
      <c r="I22" s="32" t="s">
        <v>45</v>
      </c>
    </row>
    <row r="23" spans="1:9" x14ac:dyDescent="0.25">
      <c r="A23" s="28" t="s">
        <v>103</v>
      </c>
      <c r="B23" s="29">
        <v>46217</v>
      </c>
      <c r="C23" s="29">
        <v>46218</v>
      </c>
      <c r="D23" s="29">
        <v>46276</v>
      </c>
      <c r="E23" s="28" t="s">
        <v>104</v>
      </c>
      <c r="F23" s="28" t="s">
        <v>6</v>
      </c>
      <c r="G23" s="30">
        <v>31</v>
      </c>
      <c r="H23" s="30" t="s">
        <v>105</v>
      </c>
      <c r="I23" s="32" t="s">
        <v>41</v>
      </c>
    </row>
    <row r="24" spans="1:9" x14ac:dyDescent="0.25">
      <c r="A24" s="28" t="s">
        <v>53</v>
      </c>
      <c r="B24" s="29">
        <v>46217</v>
      </c>
      <c r="C24" s="29">
        <v>46218</v>
      </c>
      <c r="D24" s="29">
        <v>46295</v>
      </c>
      <c r="E24" s="28" t="s">
        <v>106</v>
      </c>
      <c r="F24" s="28" t="s">
        <v>52</v>
      </c>
      <c r="G24" s="30">
        <v>67</v>
      </c>
      <c r="H24" s="30" t="s">
        <v>107</v>
      </c>
      <c r="I24" s="32" t="s">
        <v>36</v>
      </c>
    </row>
    <row r="25" spans="1:9" x14ac:dyDescent="0.25">
      <c r="A25" s="28" t="s">
        <v>103</v>
      </c>
      <c r="B25" s="29">
        <v>46218</v>
      </c>
      <c r="C25" s="29">
        <v>46218</v>
      </c>
      <c r="D25" s="29">
        <v>46279</v>
      </c>
      <c r="E25" s="28" t="s">
        <v>108</v>
      </c>
      <c r="F25" s="28" t="s">
        <v>52</v>
      </c>
      <c r="G25" s="30">
        <v>57</v>
      </c>
      <c r="H25" s="30" t="s">
        <v>109</v>
      </c>
      <c r="I25" s="32" t="s">
        <v>34</v>
      </c>
    </row>
    <row r="26" spans="1:9" x14ac:dyDescent="0.25">
      <c r="A26" s="28" t="s">
        <v>110</v>
      </c>
      <c r="B26" s="29">
        <v>46217</v>
      </c>
      <c r="C26" s="29">
        <v>46218</v>
      </c>
      <c r="D26" s="29">
        <v>46265</v>
      </c>
      <c r="E26" s="28" t="s">
        <v>111</v>
      </c>
      <c r="F26" s="28" t="s">
        <v>52</v>
      </c>
      <c r="G26" s="30">
        <v>37</v>
      </c>
      <c r="H26" s="30" t="s">
        <v>112</v>
      </c>
      <c r="I26" s="32" t="s">
        <v>47</v>
      </c>
    </row>
    <row r="27" spans="1:9" x14ac:dyDescent="0.25">
      <c r="A27" s="28" t="s">
        <v>5</v>
      </c>
      <c r="B27" s="29">
        <v>46219</v>
      </c>
      <c r="C27" s="29">
        <v>46219</v>
      </c>
      <c r="D27" s="29">
        <v>46281</v>
      </c>
      <c r="E27" s="28" t="s">
        <v>114</v>
      </c>
      <c r="F27" s="28" t="s">
        <v>52</v>
      </c>
      <c r="G27" s="30">
        <v>5</v>
      </c>
      <c r="H27" s="30" t="s">
        <v>115</v>
      </c>
      <c r="I27" s="32" t="s">
        <v>34</v>
      </c>
    </row>
    <row r="28" spans="1:9" x14ac:dyDescent="0.25">
      <c r="A28" s="28" t="s">
        <v>5</v>
      </c>
      <c r="B28" s="29">
        <v>46220</v>
      </c>
      <c r="C28" s="29">
        <v>46220</v>
      </c>
      <c r="D28" s="29">
        <v>46262</v>
      </c>
      <c r="E28" s="28" t="s">
        <v>116</v>
      </c>
      <c r="F28" s="28" t="s">
        <v>6</v>
      </c>
      <c r="G28" s="30">
        <v>3</v>
      </c>
      <c r="H28" s="30" t="s">
        <v>117</v>
      </c>
      <c r="I28" s="32" t="s">
        <v>46</v>
      </c>
    </row>
    <row r="29" spans="1:9" x14ac:dyDescent="0.25">
      <c r="A29" s="28" t="s">
        <v>5</v>
      </c>
      <c r="B29" s="29">
        <v>46220</v>
      </c>
      <c r="C29" s="29">
        <v>46220</v>
      </c>
      <c r="D29" s="29">
        <v>46262</v>
      </c>
      <c r="E29" s="28" t="s">
        <v>118</v>
      </c>
      <c r="F29" s="28" t="s">
        <v>6</v>
      </c>
      <c r="G29" s="30">
        <v>5</v>
      </c>
      <c r="H29" s="30" t="s">
        <v>119</v>
      </c>
      <c r="I29" s="32" t="s">
        <v>46</v>
      </c>
    </row>
    <row r="30" spans="1:9" x14ac:dyDescent="0.25">
      <c r="A30" s="28" t="s">
        <v>5</v>
      </c>
      <c r="B30" s="29">
        <v>46220</v>
      </c>
      <c r="C30" s="29">
        <v>46220</v>
      </c>
      <c r="D30" s="29">
        <v>46262</v>
      </c>
      <c r="E30" s="28" t="s">
        <v>120</v>
      </c>
      <c r="F30" s="28" t="s">
        <v>6</v>
      </c>
      <c r="G30" s="30">
        <v>87</v>
      </c>
      <c r="H30" s="30" t="s">
        <v>121</v>
      </c>
      <c r="I30" s="32" t="s">
        <v>46</v>
      </c>
    </row>
    <row r="31" spans="1:9" x14ac:dyDescent="0.25">
      <c r="A31" s="28" t="s">
        <v>5</v>
      </c>
      <c r="B31" s="29">
        <v>46220</v>
      </c>
      <c r="C31" s="29">
        <v>46220</v>
      </c>
      <c r="D31" s="29">
        <v>46262</v>
      </c>
      <c r="E31" s="28" t="s">
        <v>122</v>
      </c>
      <c r="F31" s="28" t="s">
        <v>6</v>
      </c>
      <c r="G31" s="30">
        <v>55</v>
      </c>
      <c r="H31" s="30" t="s">
        <v>123</v>
      </c>
      <c r="I31" s="32" t="s">
        <v>46</v>
      </c>
    </row>
    <row r="32" spans="1:9" x14ac:dyDescent="0.25">
      <c r="A32" s="28" t="s">
        <v>54</v>
      </c>
      <c r="B32" s="29">
        <v>46219</v>
      </c>
      <c r="C32" s="29">
        <v>46220</v>
      </c>
      <c r="D32" s="29">
        <v>46234</v>
      </c>
      <c r="E32" s="28" t="s">
        <v>124</v>
      </c>
      <c r="F32" s="28" t="s">
        <v>6</v>
      </c>
      <c r="G32" s="30">
        <v>94</v>
      </c>
      <c r="H32" s="30" t="s">
        <v>125</v>
      </c>
      <c r="I32" s="32" t="s">
        <v>47</v>
      </c>
    </row>
    <row r="33" spans="1:9" x14ac:dyDescent="0.25">
      <c r="A33" s="28" t="s">
        <v>103</v>
      </c>
      <c r="B33" s="29">
        <v>46220</v>
      </c>
      <c r="C33" s="29">
        <v>46220</v>
      </c>
      <c r="D33" s="29">
        <v>46285</v>
      </c>
      <c r="E33" s="28" t="s">
        <v>126</v>
      </c>
      <c r="F33" s="28" t="s">
        <v>6</v>
      </c>
      <c r="G33" s="30">
        <v>253</v>
      </c>
      <c r="H33" s="30" t="s">
        <v>127</v>
      </c>
      <c r="I33" s="32" t="s">
        <v>30</v>
      </c>
    </row>
    <row r="34" spans="1:9" x14ac:dyDescent="0.25">
      <c r="A34" s="28" t="s">
        <v>128</v>
      </c>
      <c r="B34" s="29">
        <v>46218</v>
      </c>
      <c r="C34" s="29">
        <v>46220</v>
      </c>
      <c r="D34" s="29">
        <v>46283</v>
      </c>
      <c r="E34" s="28" t="s">
        <v>129</v>
      </c>
      <c r="F34" s="28" t="s">
        <v>130</v>
      </c>
      <c r="G34" s="30">
        <v>71</v>
      </c>
      <c r="H34" s="30" t="s">
        <v>131</v>
      </c>
      <c r="I34" s="32" t="s">
        <v>34</v>
      </c>
    </row>
    <row r="35" spans="1:9" x14ac:dyDescent="0.25">
      <c r="A35" s="28" t="s">
        <v>103</v>
      </c>
      <c r="B35" s="29">
        <v>46220</v>
      </c>
      <c r="C35" s="29">
        <v>46223</v>
      </c>
      <c r="D35" s="29">
        <v>46296</v>
      </c>
      <c r="E35" s="28" t="s">
        <v>132</v>
      </c>
      <c r="F35" s="28" t="s">
        <v>6</v>
      </c>
      <c r="G35" s="30">
        <v>76</v>
      </c>
      <c r="H35" s="30" t="s">
        <v>133</v>
      </c>
      <c r="I35" s="32" t="s">
        <v>41</v>
      </c>
    </row>
    <row r="36" spans="1:9" x14ac:dyDescent="0.25">
      <c r="A36" s="28" t="s">
        <v>53</v>
      </c>
      <c r="B36" s="29">
        <v>46217</v>
      </c>
      <c r="C36" s="29">
        <v>46223</v>
      </c>
      <c r="D36" s="29">
        <v>46280</v>
      </c>
      <c r="E36" s="28" t="s">
        <v>134</v>
      </c>
      <c r="F36" s="28" t="s">
        <v>52</v>
      </c>
      <c r="G36" s="30">
        <v>198</v>
      </c>
      <c r="H36" s="30" t="s">
        <v>135</v>
      </c>
      <c r="I36" s="32" t="s">
        <v>47</v>
      </c>
    </row>
    <row r="37" spans="1:9" x14ac:dyDescent="0.25">
      <c r="A37" s="28" t="s">
        <v>136</v>
      </c>
      <c r="B37" s="29">
        <v>46223</v>
      </c>
      <c r="C37" s="29">
        <v>46223</v>
      </c>
      <c r="D37" s="29">
        <v>46286</v>
      </c>
      <c r="E37" s="28" t="s">
        <v>137</v>
      </c>
      <c r="F37" s="28" t="s">
        <v>6</v>
      </c>
      <c r="G37" s="30">
        <v>25</v>
      </c>
      <c r="H37" s="30" t="s">
        <v>138</v>
      </c>
      <c r="I37" s="32" t="s">
        <v>41</v>
      </c>
    </row>
    <row r="38" spans="1:9" x14ac:dyDescent="0.25">
      <c r="A38" s="28" t="s">
        <v>139</v>
      </c>
      <c r="B38" s="29">
        <v>46217</v>
      </c>
      <c r="C38" s="29">
        <v>46223</v>
      </c>
      <c r="D38" s="29">
        <v>46278</v>
      </c>
      <c r="E38" s="28" t="s">
        <v>140</v>
      </c>
      <c r="F38" s="28" t="s">
        <v>52</v>
      </c>
      <c r="G38" s="30">
        <v>49</v>
      </c>
      <c r="H38" s="30" t="s">
        <v>141</v>
      </c>
      <c r="I38" s="32" t="s">
        <v>43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109375" defaultRowHeight="15" x14ac:dyDescent="0.25"/>
  <cols>
    <col min="1" max="1" width="28.42578125" bestFit="1" customWidth="1"/>
    <col min="2" max="2" width="7.7109375" style="22" bestFit="1" customWidth="1"/>
  </cols>
  <sheetData>
    <row r="1" spans="1:2" ht="97.5" x14ac:dyDescent="0.25">
      <c r="A1" s="1" t="s">
        <v>25</v>
      </c>
    </row>
    <row r="2" spans="1:2" x14ac:dyDescent="0.25">
      <c r="A2" s="15" t="s">
        <v>16</v>
      </c>
      <c r="B2" s="23" t="s">
        <v>15</v>
      </c>
    </row>
    <row r="3" spans="1:2" x14ac:dyDescent="0.25">
      <c r="A3" s="17" t="s">
        <v>17</v>
      </c>
      <c r="B3" s="24">
        <f>SUM('Call Center Relocations Report'!G:G)</f>
        <v>163</v>
      </c>
    </row>
    <row r="4" spans="1:2" x14ac:dyDescent="0.25">
      <c r="A4" s="17" t="s">
        <v>9</v>
      </c>
      <c r="B4" s="24">
        <f>COUNTIF('Call Center Relocations Report'!F:F,"Layoff Permanent")</f>
        <v>1</v>
      </c>
    </row>
    <row r="5" spans="1:2" x14ac:dyDescent="0.25">
      <c r="A5" s="17" t="s">
        <v>10</v>
      </c>
      <c r="B5" s="24">
        <f>COUNTIF('Call Center Relocations Report'!F:F,"Layoff Temporary")</f>
        <v>0</v>
      </c>
    </row>
    <row r="6" spans="1:2" x14ac:dyDescent="0.25">
      <c r="A6" s="17" t="s">
        <v>11</v>
      </c>
      <c r="B6" s="24">
        <f>COUNTIF('Call Center Relocations Report'!F:F,"Layoff Not Identified")</f>
        <v>0</v>
      </c>
    </row>
    <row r="7" spans="1:2" x14ac:dyDescent="0.25">
      <c r="A7" s="17" t="s">
        <v>12</v>
      </c>
      <c r="B7" s="24">
        <f>COUNTIF('Call Center Relocations Report'!F:F,"Closure Permanent")</f>
        <v>0</v>
      </c>
    </row>
    <row r="8" spans="1:2" x14ac:dyDescent="0.25">
      <c r="A8" s="17" t="s">
        <v>13</v>
      </c>
      <c r="B8" s="24">
        <f>COUNTIF('Call Center Relocations Report'!F:F,"Closure Temporary")</f>
        <v>0</v>
      </c>
    </row>
    <row r="9" spans="1:2" x14ac:dyDescent="0.2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109375" defaultRowHeight="15" x14ac:dyDescent="0.25"/>
  <cols>
    <col min="1" max="1" width="31.140625" customWidth="1"/>
    <col min="2" max="2" width="8.42578125" style="18" bestFit="1" customWidth="1"/>
    <col min="3" max="3" width="12.140625" style="18" bestFit="1" customWidth="1"/>
    <col min="4" max="4" width="10.28515625" style="18" bestFit="1" customWidth="1"/>
    <col min="5" max="5" width="31.28515625" style="1" bestFit="1" customWidth="1"/>
    <col min="6" max="6" width="13.42578125" bestFit="1" customWidth="1"/>
    <col min="7" max="7" width="12.140625" bestFit="1" customWidth="1"/>
    <col min="8" max="8" width="34.42578125" bestFit="1" customWidth="1"/>
  </cols>
  <sheetData>
    <row r="1" spans="1:8" ht="99.75" x14ac:dyDescent="0.25">
      <c r="A1" s="25" t="s">
        <v>113</v>
      </c>
      <c r="E1"/>
    </row>
    <row r="2" spans="1:8" ht="24.75" x14ac:dyDescent="0.2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2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109375" defaultRowHeight="15" x14ac:dyDescent="0.25"/>
  <cols>
    <col min="1" max="1" width="67.28515625" bestFit="1" customWidth="1"/>
  </cols>
  <sheetData>
    <row r="1" spans="1:1" x14ac:dyDescent="0.25">
      <c r="A1" t="s">
        <v>30</v>
      </c>
    </row>
    <row r="2" spans="1:1" x14ac:dyDescent="0.25">
      <c r="A2" t="s">
        <v>31</v>
      </c>
    </row>
    <row r="3" spans="1:1" x14ac:dyDescent="0.25">
      <c r="A3" t="s">
        <v>32</v>
      </c>
    </row>
    <row r="4" spans="1:1" x14ac:dyDescent="0.25">
      <c r="A4" t="s">
        <v>33</v>
      </c>
    </row>
    <row r="5" spans="1:1" x14ac:dyDescent="0.25">
      <c r="A5" t="s">
        <v>34</v>
      </c>
    </row>
    <row r="6" spans="1:1" x14ac:dyDescent="0.25">
      <c r="A6" t="s">
        <v>35</v>
      </c>
    </row>
    <row r="7" spans="1:1" x14ac:dyDescent="0.25">
      <c r="A7" t="s">
        <v>36</v>
      </c>
    </row>
    <row r="8" spans="1:1" x14ac:dyDescent="0.25">
      <c r="A8" t="s">
        <v>37</v>
      </c>
    </row>
    <row r="9" spans="1:1" x14ac:dyDescent="0.25">
      <c r="A9" t="s">
        <v>38</v>
      </c>
    </row>
    <row r="10" spans="1:1" x14ac:dyDescent="0.25">
      <c r="A10" t="s">
        <v>39</v>
      </c>
    </row>
    <row r="11" spans="1:1" x14ac:dyDescent="0.25">
      <c r="A11" t="s">
        <v>40</v>
      </c>
    </row>
    <row r="12" spans="1:1" x14ac:dyDescent="0.25">
      <c r="A12" t="s">
        <v>41</v>
      </c>
    </row>
    <row r="13" spans="1:1" x14ac:dyDescent="0.25">
      <c r="A13" t="s">
        <v>42</v>
      </c>
    </row>
    <row r="14" spans="1:1" x14ac:dyDescent="0.25">
      <c r="A14" t="s">
        <v>43</v>
      </c>
    </row>
    <row r="15" spans="1:1" x14ac:dyDescent="0.25">
      <c r="A15" t="s">
        <v>44</v>
      </c>
    </row>
    <row r="16" spans="1:1" x14ac:dyDescent="0.25">
      <c r="A16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14ED5C53901F4C88FF6AEBBF3D8E0D" ma:contentTypeVersion="13" ma:contentTypeDescription="Create a new document." ma:contentTypeScope="" ma:versionID="529ed3825ab478a5ffdc44eb265dc6f5">
  <xsd:schema xmlns:xsd="http://www.w3.org/2001/XMLSchema" xmlns:xs="http://www.w3.org/2001/XMLSchema" xmlns:p="http://schemas.microsoft.com/office/2006/metadata/properties" xmlns:ns2="82b749e3-8208-459a-bfc0-9b428d09cbab" xmlns:ns3="9ac7e9dd-8d2d-4750-b54a-f534515ac3a2" targetNamespace="http://schemas.microsoft.com/office/2006/metadata/properties" ma:root="true" ma:fieldsID="b7c2030912f9588e16c624efbe24e62a" ns2:_="" ns3:_="">
    <xsd:import namespace="82b749e3-8208-459a-bfc0-9b428d09cbab"/>
    <xsd:import namespace="9ac7e9dd-8d2d-4750-b54a-f534515ac3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b749e3-8208-459a-bfc0-9b428d09cba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d7394e95-b349-4f38-a288-35f6b460f5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e9dd-8d2d-4750-b54a-f534515ac3a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eb3a4cf-a4c1-465d-84d5-3df346f355a6}" ma:internalName="TaxCatchAll" ma:showField="CatchAllData" ma:web="9ac7e9dd-8d2d-4750-b54a-f534515ac3a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ac7e9dd-8d2d-4750-b54a-f534515ac3a2" xsi:nil="true"/>
    <lcf76f155ced4ddcb4097134ff3c332f xmlns="82b749e3-8208-459a-bfc0-9b428d09cba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6272687-601F-424B-A8D8-C079CFA9EA3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2b749e3-8208-459a-bfc0-9b428d09cbab"/>
    <ds:schemaRef ds:uri="9ac7e9dd-8d2d-4750-b54a-f534515ac3a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14C4746-C3AE-4E3C-852F-947D928A7F5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B66F8A0-9A49-4A75-B4A3-15CE84DBE70A}">
  <ds:schemaRefs>
    <ds:schemaRef ds:uri="http://schemas.microsoft.com/office/2006/documentManagement/types"/>
    <ds:schemaRef ds:uri="http://purl.org/dc/terms/"/>
    <ds:schemaRef ds:uri="82b749e3-8208-459a-bfc0-9b428d09cbab"/>
    <ds:schemaRef ds:uri="http://purl.org/dc/elements/1.1/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9ac7e9dd-8d2d-4750-b54a-f534515ac3a2"/>
    <ds:schemaRef ds:uri="http://schemas.microsoft.com/office/2006/metadata/properties"/>
    <ds:schemaRef ds:uri="http://www.w3.org/XML/1998/namespace"/>
  </ds:schemaRefs>
</ds:datastoreItem>
</file>

<file path=docMetadata/LabelInfo.xml><?xml version="1.0" encoding="utf-8"?>
<clbl:labelList xmlns:clbl="http://schemas.microsoft.com/office/2020/mipLabelMetadata">
  <clbl:label id="{651480e4-deb2-4da5-bc64-7d1e9e1df8e4}" enabled="1" method="Standard" siteId="{06cac249-57c6-4eed-94fd-256abde82b4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2026-07-21T15:24:12Z</dcterms:modified>
  <cp:category>Calculating WARN Report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0x010100E614ED5C53901F4C88FF6AEBBF3D8E0D</vt:lpwstr>
  </property>
  <property fmtid="{D5CDD505-2E9C-101B-9397-08002B2CF9AE}" pid="3" name="MediaServiceImageTags">
    <vt:lpwstr/>
  </property>
</Properties>
</file>