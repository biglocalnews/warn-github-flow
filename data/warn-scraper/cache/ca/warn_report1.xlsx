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604C5774-F3BF-4FE9-9D9B-AE5F7CBDB02F}" xr6:coauthVersionLast="47" xr6:coauthVersionMax="47" xr10:uidLastSave="{00000000-0000-0000-0000-000000000000}"/>
  <bookViews>
    <workbookView xWindow="-120" yWindow="-120" windowWidth="29040" windowHeight="1584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<sst xmlns="http://schemas.openxmlformats.org/spreadsheetml/2006/main" count="4451" uniqueCount="1572">
  <si>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</si>
  <si>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</si>
  <si>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</si>
  <si>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</si>
  <si>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</si>
  <si>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</si>
  <si>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</si>
  <si>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</si>
  <si>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</si>
  <si>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</si>
  <si>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</si>
  <si>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</si>
  <si>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</si>
  <si>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</si>
  <si>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</si>
  <si>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</si>
  <si>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</si>
  <si>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</si>
  <si>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</si>
  <si>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</si>
  <si>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</si>
  <si>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</si>
  <si>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</si>
  <si>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</si>
  <si>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</si>
  <si>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</si>
  <si>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</si>
  <si>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</si>
  <si>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</si>
  <si>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</si>
  <si>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</si>
  <si>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</si>
  <si>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</si>
  <si>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</si>
  <si>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</si>
  <si>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</si>
  <si>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</si>
  <si>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</si>
  <si>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</si>
  <si>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</si>
  <si>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</si>
  <si>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</si>
  <si>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</si>
  <si>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</si>
  <si>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</si>
  <si>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</si>
  <si>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</si>
  <si>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</si>
  <si>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</si>
  <si>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</si>
  <si>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</si>
  <si>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</si>
  <si>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</si>
  <si>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</si>
  <si>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</si>
  <si>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</si>
  <si>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</si>
  <si>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</si>
  <si>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</si>
  <si>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</si>
  <si>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</si>
  <si>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</si>
  <si>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</si>
  <si>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</si>
  <si>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</si>
  <si>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</si>
  <si>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</si>
  <si>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</si>
  <si>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</si>
  <si>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</si>
  <si>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</si>
  <si>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</si>
  <si>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</si>
  <si>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</si>
  <si>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</si>
  <si>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</si>
  <si>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</si>
  <si>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</si>
  <si>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</si>
  <si>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</si>
  <si>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</si>
  <si>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</si>
  <si>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</si>
  <si>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</si>
  <si>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</si>
  <si>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</si>
  <si>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</si>
  <si>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</si>
  <si>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</si>
  <si>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</si>
  <si>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</si>
  <si>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</si>
  <si>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</si>
  <si>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</si>
  <si>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</si>
  <si>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</si>
  <si>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</si>
  <si>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</si>
  <si>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</si>
  <si>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</si>
  <si>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</si>
  <si>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</si>
  <si>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</si>
  <si>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</si>
  <si>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</si>
  <si>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</si>
  <si>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</si>
  <si>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</si>
  <si>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</si>
  <si>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</si>
  <si>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</si>
  <si>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</si>
  <si>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</si>
  <si>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</si>
  <si>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</si>
  <si>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</si>
  <si>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</si>
  <si>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</si>
  <si>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</si>
  <si>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</si>
  <si>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</si>
  <si>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</si>
  <si>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</si>
  <si>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</si>
  <si>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</si>
  <si>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</si>
  <si>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</si>
  <si>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</si>
  <si>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</si>
  <si>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</si>
  <si>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</si>
  <si>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</si>
  <si>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</si>
  <si>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</si>
  <si>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</si>
  <si>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</si>
  <si>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</si>
  <si>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</si>
  <si>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</si>
  <si>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</si>
  <si>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</si>
  <si>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</si>
  <si>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</si>
  <si>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</si>
  <si>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</si>
  <si>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</si>
  <si>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</si>
  <si>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</si>
  <si>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</si>
  <si>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</si>
  <si>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</si>
  <si>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</si>
  <si>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</si>
  <si>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</si>
  <si>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</si>
  <si>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</si>
  <si>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</si>
  <si>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</si>
  <si>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</si>
  <si>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</si>
  <si>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</si>
  <si>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</si>
  <si>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</si>
  <si>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</si>
  <si>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</si>
  <si>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</si>
  <si>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</si>
  <si>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</si>
  <si>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</si>
  <si>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</si>
  <si>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</si>
  <si>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</si>
  <si>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</si>
  <si>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</si>
  <si>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</si>
  <si>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</si>
  <si>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</si>
  <si>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</si>
  <si>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</si>
  <si>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</si>
  <si>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</si>
  <si>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</si>
  <si>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</si>
  <si>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</si>
  <si>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</si>
  <si>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</si>
  <si>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</si>
  <si>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</si>
  <si>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</si>
  <si>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</si>
  <si>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</si>
  <si>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</si>
  <si>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</si>
  <si>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</si>
  <si>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</si>
  <si>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</si>
  <si>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</si>
  <si>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</si>
  <si>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</si>
  <si>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</si>
  <si>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</si>
  <si>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</si>
  <si>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</si>
  <si>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</si>
  <si>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</si>
  <si>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</si>
  <si>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</si>
  <si>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</si>
  <si>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</si>
  <si>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</si>
  <si>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</si>
  <si>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</si>
  <si>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</si>
  <si>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</si>
  <si>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</si>
  <si>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</si>
  <si>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</si>
  <si>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</si>
  <si>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</si>
  <si>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</si>
  <si>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</si>
  <si>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</si>
  <si>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</si>
  <si>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</si>
  <si>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</si>
  <si>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</si>
  <si>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</si>
  <si>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</si>
  <si>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</si>
  <si>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</si>
  <si>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</si>
  <si>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</si>
  <si>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</si>
  <si>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</si>
  <si>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</si>
  <si>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</si>
  <si>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</si>
  <si>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</si>
  <si>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</si>
  <si>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</si>
  <si>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</si>
  <si>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</si>
  <si>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</si>
  <si>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</si>
  <si>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</si>
  <si>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</si>
  <si>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</si>
  <si>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</si>
  <si>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</si>
  <si>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</si>
  <si>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</si>
  <si>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</si>
  <si>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</si>
  <si>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</si>
  <si>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</si>
  <si>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</si>
  <si>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</si>
  <si>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</si>
  <si>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</si>
  <si>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</si>
  <si>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</si>
  <si>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</si>
  <si>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</si>
  <si>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</si>
  <si>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</si>
  <si>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</si>
  <si>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</si>
  <si>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</si>
  <si>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</si>
  <si>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</si>
  <si>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</si>
  <si>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</si>
  <si>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</si>
  <si>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</si>
  <si>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</si>
  <si>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</si>
  <si>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</si>
  <si>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</si>
  <si>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</si>
  <si>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</si>
  <si>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</si>
  <si>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</si>
  <si>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</si>
  <si>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</si>
  <si>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</si>
  <si>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</si>
  <si>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</si>
  <si>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</si>
  <si>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</si>
  <si>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</si>
  <si>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</si>
  <si>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</si>
  <si>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</si>
  <si>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</si>
  <si>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</si>
  <si>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</si>
  <si>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</si>
  <si>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</si>
  <si>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</si>
  <si>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</si>
  <si>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</si>
  <si>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</si>
  <si>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</si>
  <si>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</si>
  <si>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</si>
  <si>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</si>
  <si>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</si>
  <si>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</si>
  <si>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</si>
  <si>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</si>
  <si>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</si>
  <si>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</si>
  <si>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</si>
  <si>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</si>
  <si>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</si>
  <si>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</si>
  <si>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</si>
  <si>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</si>
  <si>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</si>
  <si>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</si>
  <si>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</si>
  <si>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</si>
  <si>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</si>
  <si>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</si>
  <si>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</si>
  <si>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</si>
  <si>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</si>
  <si>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</si>
  <si>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</si>
  <si>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</si>
  <si>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</si>
  <si>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</si>
  <si>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</si>
  <si>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</si>
  <si>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</si>
  <si>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</si>
  <si>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</si>
  <si>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</si>
  <si>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</si>
  <si>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</si>
  <si>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</si>
  <si>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</si>
  <si>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</si>
  <si>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</si>
  <si>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</si>
  <si>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</si>
  <si>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</si>
  <si>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</si>
  <si>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</si>
  <si>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</si>
  <si>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</si>
  <si>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</si>
  <si>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</si>
  <si>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</si>
  <si>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</si>
  <si>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</si>
  <si>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</si>
  <si>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</si>
  <si>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</si>
  <si>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</si>
  <si>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</si>
  <si>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</si>
  <si>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</si>
  <si>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</si>
  <si>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</si>
  <si>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</si>
  <si>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</si>
  <si>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</si>
  <si>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</si>
  <si>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</si>
  <si>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</si>
  <si>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</si>
  <si>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</si>
  <si>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</si>
  <si>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</si>
  <si>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</si>
  <si>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</si>
  <si>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</si>
  <si>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</si>
  <si>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</si>
  <si>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</si>
  <si>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</si>
  <si>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</si>
  <si>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</si>
  <si>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</si>
  <si>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</si>
  <si>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</si>
  <si>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</si>
  <si>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</si>
  <si>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</si>
  <si>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</si>
  <si>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</si>
  <si>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</si>
  <si>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</si>
  <si>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</si>
  <si>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</si>
  <si>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</si>
  <si>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</si>
  <si>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</si>
  <si>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</si>
  <si>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</si>
  <si>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</si>
  <si>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</si>
  <si>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</si>
  <si>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</si>
  <si>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</si>
  <si>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</si>
  <si>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</si>
  <si>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</si>
  <si>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</si>
  <si>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</si>
  <si>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</si>
  <si>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</si>
  <si>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</si>
  <si>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</si>
  <si>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</si>
  <si>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</si>
  <si>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</si>
  <si>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</si>
  <si>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</si>
  <si>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</si>
  <si>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</si>
  <si>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</si>
  <si>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</si>
  <si>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</si>
  <si>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</si>
  <si>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</si>
  <si>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</si>
  <si>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</si>
  <si>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</si>
  <si>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</si>
  <si>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</si>
  <si>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</si>
  <si>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</si>
  <si>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</si>
  <si>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</si>
  <si>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</si>
  <si>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</si>
  <si>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</si>
  <si>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</si>
  <si>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</si>
  <si>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</si>
  <si>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</si>
  <si>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</si>
  <si>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</si>
  <si>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</si>
  <si>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</si>
  <si>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</si>
  <si>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</si>
  <si>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</si>
  <si>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</si>
  <si>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</si>
  <si>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</si>
  <si>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</si>
  <si>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</si>
  <si>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</si>
  <si>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</si>
  <si>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</si>
  <si>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</si>
  <si>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</si>
  <si>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</si>
  <si>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</si>
  <si>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</si>
  <si>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</si>
  <si>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</si>
  <si>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</si>
  <si>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</si>
  <si>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</si>
  <si>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</si>
  <si>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</si>
  <si>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</si>
  <si>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</si>
  <si>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</si>
  <si>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</si>
  <si>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</si>
  <si>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</si>
  <si>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</si>
  <si>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</si>
  <si>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</si>
  <si>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</si>
  <si>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</si>
  <si>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</si>
  <si>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</si>
  <si>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</si>
  <si>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</si>
  <si>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</si>
  <si>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</si>
  <si>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</si>
  <si>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</si>
  <si>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</si>
  <si>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</si>
  <si>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</si>
  <si>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</si>
  <si>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</si>
  <si>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</si>
  <si>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</si>
  <si>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</si>
  <si>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</si>
  <si>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</si>
  <si>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</si>
  <si>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</si>
  <si>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</si>
  <si>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</si>
  <si>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</si>
  <si>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</si>
  <si>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</si>
  <si>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</si>
  <si>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</si>
  <si>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</si>
  <si>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</si>
  <si>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</si>
  <si>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</si>
  <si>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</si>
  <si>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</si>
  <si>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</si>
  <si>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</si>
  <si>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</si>
  <si>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</si>
  <si>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</si>
  <si>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</si>
  <si>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</si>
  <si>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</si>
  <si>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</si>
  <si>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</si>
  <si>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</si>
  <si>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</si>
  <si>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</si>
  <si>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</si>
  <si>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</si>
  <si>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</si>
  <si>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</si>
  <si>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</si>
  <si>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</si>
  <si>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</si>
  <si>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</si>
  <si>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</si>
  <si>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</si>
  <si>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</si>
  <si>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</si>
  <si>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</si>
  <si>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</si>
  <si>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</si>
  <si>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</si>
  <si>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</si>
  <si>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</si>
  <si>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</si>
  <si>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</si>
  <si>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</si>
  <si>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</si>
  <si>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</si>
  <si>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</si>
  <si>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</si>
  <si>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</si>
  <si>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</si>
  <si>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</si>
  <si>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</si>
  <si>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</si>
  <si>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</si>
  <si>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</si>
  <si>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</si>
  <si>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</si>
  <si>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</si>
  <si>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</si>
  <si>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</si>
  <si>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</si>
  <si>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</si>
  <si>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</si>
  <si>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</si>
  <si>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</si>
  <si>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</si>
  <si>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</si>
  <si>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</si>
  <si>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</si>
  <si>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</si>
  <si>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</si>
  <si>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</si>
  <si>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</si>
  <si>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</si>
  <si>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</si>
  <si>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</si>
  <si>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</si>
  <si>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</si>
  <si>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</si>
  <si>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</si>
  <si>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</si>
  <si>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</si>
  <si>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</si>
  <si>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</si>
  <si>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</si>
  <si>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</si>
  <si>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</si>
  <si>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</si>
  <si>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</si>
  <si>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</si>
  <si>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</si>
  <si>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</si>
  <si>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</si>
  <si>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</si>
  <si>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</si>
  <si>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</si>
  <si>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</si>
  <si>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</si>
  <si>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</si>
  <si>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</si>
  <si>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</si>
  <si>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</si>
  <si>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</si>
  <si>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</si>
  <si>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</si>
  <si>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</si>
  <si>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</si>
  <si>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</si>
  <si>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</si>
  <si>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</si>
  <si>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</si>
  <si>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</si>
  <si>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</si>
  <si>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</si>
  <si>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</si>
  <si>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</si>
  <si>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</si>
  <si>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</si>
  <si>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</si>
  <si>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</si>
  <si>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</si>
  <si>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</si>
  <si>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</si>
  <si>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</si>
  <si>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</si>
  <si>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</si>
  <si>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</si>
  <si>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</si>
  <si>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</si>
  <si>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</si>
  <si>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</si>
  <si>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</si>
  <si>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</si>
  <si>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</si>
  <si>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</si>
  <si>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</si>
  <si>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</si>
  <si>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</si>
  <si>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</si>
  <si>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</si>
  <si>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</si>
  <si>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</si>
  <si>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</si>
  <si>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</si>
  <si>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</si>
  <si>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</si>
  <si>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</si>
  <si>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</si>
  <si>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</si>
  <si>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</si>
  <si>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</si>
  <si>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</si>
  <si>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</si>
  <si>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</si>
  <si>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</si>
  <si>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</si>
  <si>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</si>
  <si>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</si>
  <si>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</si>
  <si>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</si>
  <si>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</si>
  <si>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</si>
  <si>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</si>
  <si>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</si>
  <si>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</si>
  <si>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</si>
  <si>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</si>
  <si>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</si>
  <si>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</si>
  <si>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</si>
  <si>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</si>
  <si>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</si>
  <si>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</si>
  <si>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</si>
  <si>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</si>
  <si>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</si>
  <si>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</si>
  <si>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</si>
  <si>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</si>
  <si>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</si>
  <si>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</si>
  <si>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</si>
  <si>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</si>
  <si>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</si>
  <si>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</si>
  <si>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</si>
  <si>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</si>
  <si>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</si>
  <si>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</si>
  <si>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</si>
  <si>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</si>
  <si>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</si>
  <si>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</si>
  <si>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</si>
  <si>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</si>
  <si>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</si>
  <si>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</si>
  <si>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</si>
  <si>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</si>
  <si>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</si>
  <si>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</si>
  <si>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</si>
  <si>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</si>
  <si>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</si>
  <si>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</si>
  <si>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</si>
  <si>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</si>
  <si>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</si>
  <si>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</si>
  <si>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</si>
  <si>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</si>
  <si>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</si>
  <si>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</si>
  <si>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</si>
  <si>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</si>
  <si>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</si>
  <si>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</si>
  <si>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</si>
  <si>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</si>
  <si>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</si>
  <si>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</si>
  <si>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</si>
  <si>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</si>
  <si>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</si>
  <si>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</si>
  <si>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</si>
  <si>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</si>
  <si>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</si>
  <si>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</si>
  <si>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</si>
  <si>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</si>
  <si>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</si>
  <si>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</si>
  <si>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</si>
  <si>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</si>
  <si>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</si>
  <si>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</si>
  <si>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</si>
  <si>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</si>
  <si>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</si>
  <si>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</si>
  <si>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</si>
  <si>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</si>
  <si>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</si>
  <si>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</si>
  <si>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</si>
  <si>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</si>
  <si>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</si>
  <si>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</si>
  <si>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</si>
  <si>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</si>
  <si>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</si>
  <si>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</si>
  <si>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</si>
  <si>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</si>
  <si>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</si>
  <si>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</si>
  <si>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</si>
  <si>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</si>
  <si>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</si>
  <si>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</si>
  <si>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</si>
  <si>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</si>
  <si>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</si>
  <si>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</si>
  <si>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</si>
  <si>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</si>
  <si>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</si>
  <si>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</si>
  <si>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</si>
  <si>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</si>
  <si>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</si>
  <si>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</si>
  <si>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</si>
  <si>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</si>
  <si>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</si>
  <si>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</si>
  <si>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</si>
  <si>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</si>
  <si>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</si>
  <si>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</si>
  <si>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</si>
  <si>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</si>
  <si>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</si>
  <si>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</si>
  <si>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</si>
  <si>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</si>
  <si>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</si>
  <si>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</si>
  <si>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</si>
  <si>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</si>
  <si>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</si>
  <si>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</si>
  <si>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</si>
  <si>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</si>
  <si>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</si>
  <si>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</si>
  <si>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</si>
  <si>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</si>
  <si>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</si>
  <si>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</si>
  <si>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</si>
  <si>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</si>
  <si>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</si>
  <si>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</si>
  <si>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</si>
  <si>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</si>
  <si>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</si>
  <si>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</si>
  <si>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</si>
  <si>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</si>
  <si>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</si>
  <si>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</si>
  <si>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</si>
  <si>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</si>
  <si>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</si>
  <si>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</si>
  <si>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</si>
  <si>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</si>
  <si>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</si>
  <si>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</si>
  <si>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</si>
  <si>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</si>
  <si>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</si>
  <si>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</si>
  <si>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</si>
  <si>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</si>
  <si>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</si>
  <si>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</si>
  <si>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</si>
  <si>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</si>
  <si>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</si>
  <si>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</si>
  <si>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</si>
  <si>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</si>
  <si>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</si>
  <si>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</si>
  <si>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</si>
  <si>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</si>
  <si>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</si>
  <si>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</si>
  <si>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</si>
  <si>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</si>
  <si>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</si>
  <si>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</si>
  <si>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</si>
  <si>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</si>
  <si>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</si>
  <si>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</si>
  <si>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</si>
  <si>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</si>
  <si>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</si>
  <si>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</si>
  <si>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</si>
  <si>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</si>
  <si>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</si>
  <si>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</si>
  <si>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</si>
  <si>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</si>
  <si>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</si>
  <si>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</si>
  <si>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</si>
  <si>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</si>
  <si>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</si>
  <si>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</si>
  <si>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</si>
  <si>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</si>
  <si>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</si>
  <si>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</si>
  <si>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</si>
  <si>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</si>
  <si>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</si>
  <si>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</si>
  <si>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</si>
  <si>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</si>
  <si>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</si>
  <si>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</si>
  <si>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</si>
  <si>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</si>
  <si>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</si>
  <si>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</si>
  <si>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</si>
  <si>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</si>
  <si>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</si>
  <si>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</si>
  <si>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</si>
  <si>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</si>
  <si>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</si>
  <si>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</si>
  <si>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</si>
  <si>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</si>
  <si>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</si>
  <si>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</si>
  <si>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</si>
  <si>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</si>
  <si>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</si>
  <si>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</si>
  <si>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</si>
  <si>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</si>
  <si>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</si>
  <si>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</si>
  <si>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</si>
  <si>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</si>
  <si>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</si>
  <si>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</si>
  <si>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</si>
  <si>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</si>
  <si>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</si>
  <si>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</si>
  <si>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</si>
  <si>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</si>
  <si>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</si>
  <si>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</si>
  <si>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</si>
  <si>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</si>
  <si>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</si>
  <si>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</si>
  <si>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</si>
  <si>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</si>
  <si>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</si>
  <si>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</si>
  <si>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</si>
  <si>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</si>
  <si>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</si>
  <si>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</si>
  <si>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</si>
  <si>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</si>
  <si>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</si>
  <si>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</si>
  <si>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</si>
  <si>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</si>
  <si>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</si>
  <si>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</si>
  <si>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</si>
  <si>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</si>
  <si>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</si>
  <si>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</si>
  <si>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</si>
  <si>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</si>
  <si>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</si>
  <si>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</si>
  <si>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</si>
  <si>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</si>
  <si>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</si>
  <si>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</si>
  <si>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</si>
  <si>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</si>
  <si>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</si>
  <si>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</si>
  <si>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</si>
  <si>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</si>
  <si>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</si>
  <si>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</si>
  <si>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</si>
  <si>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</si>
  <si>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</si>
  <si>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</si>
  <si>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</si>
  <si>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</si>
  <si>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</si>
  <si>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</si>
  <si>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</si>
  <si>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</si>
  <si>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</si>
  <si>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</si>
  <si>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</si>
  <si>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</si>
  <si>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</si>
  <si>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</si>
  <si>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</si>
  <si>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</si>
  <si>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</si>
  <si>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</si>
  <si>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</si>
  <si>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</si>
  <si>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</si>
  <si>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</si>
  <si>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</si>
  <si>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</si>
  <si>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</si>
  <si>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</si>
  <si>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</si>
  <si>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</si>
  <si>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</si>
  <si>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</si>
  <si>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</si>
  <si>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</si>
  <si>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</si>
  <si>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</si>
  <si>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</si>
  <si>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</si>
  <si>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</si>
  <si>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</si>
  <si>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</si>
  <si>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</si>
  <si>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</si>
  <si>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</si>
  <si>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</si>
  <si>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</si>
  <si>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</si>
  <si>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</si>
  <si>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</si>
  <si>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</si>
  <si>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</si>
  <si>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</si>
  <si>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</si>
  <si>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</si>
  <si>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</si>
  <si>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</si>
  <si>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</si>
  <si>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</si>
  <si>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</si>
  <si>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</si>
  <si>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</si>
  <si>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</si>
  <si>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</si>
  <si>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</si>
  <si>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</si>
  <si>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</si>
  <si>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</si>
  <si>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</si>
  <si>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</si>
  <si>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</si>
  <si>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</si>
  <si>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</si>
  <si>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</si>
  <si>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</si>
  <si>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</si>
  <si>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</si>
  <si>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</si>
  <si>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</si>
  <si>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</si>
  <si>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</si>
  <si>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</si>
  <si>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</si>
  <si>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</si>
  <si>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</si>
  <si>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</si>
  <si>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</si>
  <si>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</si>
  <si>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</si>
  <si>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</si>
  <si>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</si>
  <si>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</si>
  <si>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</si>
  <si>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</si>
  <si>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</si>
  <si>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</si>
  <si>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</si>
  <si>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</si>
  <si>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</si>
  <si>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</si>
  <si>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</si>
  <si>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</si>
  <si>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</si>
  <si>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</si>
  <si>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</si>
  <si>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</si>
  <si>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</si>
  <si>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</si>
  <si>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</si>
  <si>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</si>
  <si>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</si>
  <si>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</si>
  <si>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</si>
  <si>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</si>
  <si>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</si>
  <si>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</si>
  <si>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</si>
  <si>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</si>
  <si>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</si>
  <si>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</si>
  <si>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</si>
  <si>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</si>
  <si>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</si>
  <si>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</si>
  <si>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</si>
  <si>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</si>
  <si>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</si>
  <si>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</si>
  <si>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</si>
  <si>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</si>
  <si>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</si>
  <si>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</si>
  <si>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</si>
  <si>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</si>
  <si>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</si>
  <si>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</si>
  <si>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</si>
  <si>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</si>
  <si>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</si>
  <si>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</si>
  <si>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</si>
  <si>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</si>
  <si>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</si>
  <si>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</si>
  <si>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</si>
  <si>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</si>
  <si>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</si>
  <si>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</si>
  <si>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</si>
  <si>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</si>
  <si>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</si>
  <si>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</si>
  <si>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</si>
  <si>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</si>
  <si>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</si>
  <si>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</si>
  <si>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</si>
  <si>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</si>
  <si>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</si>
  <si>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</si>
  <si>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</si>
  <si>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</si>
  <si>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</si>
  <si>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</si>
  <si>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</si>
  <si>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</si>
  <si>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</si>
  <si>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</si>
  <si>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</si>
  <si>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</si>
  <si>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</si>
  <si>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</si>
  <si>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</si>
  <si>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</si>
  <si>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</si>
  <si>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</si>
  <si>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</si>
  <si>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</si>
  <si>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</si>
  <si>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</si>
  <si>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</si>
  <si>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</si>
  <si>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</si>
  <si>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</si>
  <si>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</si>
  <si>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</si>
  <si>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</si>
  <si>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</si>
  <si>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</si>
  <si>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</si>
  <si>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</si>
  <si>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</si>
  <si>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</si>
  <si>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</si>
  <si>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</si>
  <si>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</si>
  <si>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</si>
  <si>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</si>
  <si>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</si>
  <si>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</si>
  <si>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</si>
  <si>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</si>
  <si>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</si>
  <si>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</si>
  <si>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</si>
  <si>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</si>
  <si>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</si>
  <si>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</si>
  <si>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</si>
  <si>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</si>
  <si>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</si>
  <si>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</si>
  <si>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</si>
  <si>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</si>
  <si>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</si>
  <si>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</si>
  <si>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</si>
  <si>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</si>
  <si>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</si>
  <si>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</si>
  <si>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</si>
  <si>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</si>
  <si>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</si>
  <si>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</si>
  <si>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</si>
  <si>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</si>
  <si>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</si>
  <si>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</si>
  <si>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</si>
  <si>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</si>
  <si>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</si>
  <si>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</si>
  <si>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</si>
  <si>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</si>
  <si>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</si>
  <si>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</si>
  <si>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</si>
  <si>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</si>
  <si>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</si>
  <si>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</si>
  <si>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</si>
  <si>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</si>
  <si>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</si>
  <si>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</si>
  <si>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</si>
  <si>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</si>
  <si>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</si>
  <si>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</si>
  <si>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</si>
  <si>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</si>
  <si>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</si>
  <si>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</si>
  <si>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</si>
  <si>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</si>
  <si>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</si>
  <si>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</si>
  <si>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</si>
  <si>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</si>
  <si>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</si>
  <si>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</si>
  <si>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</si>
  <si>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</si>
  <si>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</si>
  <si>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</si>
  <si>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</si>
  <si>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</si>
  <si>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</si>
  <si>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</si>
  <si>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</si>
  <si>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</si>
  <si>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</si>
  <si>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</si>
  <si>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</si>
  <si>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</si>
  <si>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</si>
  <si>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</si>
  <si>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</si>
  <si>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</si>
  <si>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</si>
  <si>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</si>
  <si>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</si>
  <si>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</si>
  <si>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</si>
  <si>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</si>
  <si>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</si>
  <si>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</si>
  <si>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</si>
  <si>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</si>
  <si>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</si>
  <si>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</si>
  <si>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</si>
  <si>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</si>
  <si>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</si>
  <si>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</si>
  <si>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</si>
  <si>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</si>
  <si>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</si>
  <si>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</si>
  <si>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</si>
  <si>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</si>
  <si>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</si>
  <si>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</si>
  <si>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</si>
  <si>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</si>
  <si>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</si>
  <si>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</si>
  <si>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</si>
  <si>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</si>
  <si>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</si>
  <si>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</si>
  <si>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</si>
  <si>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</si>
  <si>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</si>
  <si>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</si>
  <si>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</si>
  <si>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</si>
  <si>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</si>
  <si>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</si>
  <si>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</si>
  <si>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</si>
  <si>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</si>
  <si>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</si>
  <si>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</si>
  <si>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</si>
  <si>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</si>
  <si>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</si>
  <si>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</si>
  <si>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</si>
  <si>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</si>
  <si>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</si>
  <si>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</si>
  <si>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</si>
  <si>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</si>
  <si>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</si>
  <si>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</si>
  <si>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</si>
  <si>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</si>
  <si>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</si>
  <si>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</si>
  <si>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</si>
  <si>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</si>
  <si>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</si>
  <si>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</si>
  <si>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</si>
  <si>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</si>
  <si>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</si>
  <si>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</si>
  <si>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</si>
  <si>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</si>
  <si>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</si>
  <si>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</si>
  <si>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</si>
  <si>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</si>
  <si>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</si>
  <si>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</si>
  <si>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</si>
  <si>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</si>
  <si>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</si>
  <si>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</si>
  <si>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</si>
  <si>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</si>
  <si>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</si>
  <si>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</si>
  <si>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</si>
  <si>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</si>
  <si>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</si>
  <si>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</si>
  <si>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</si>
  <si>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</si>
  <si>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</si>
  <si>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</si>
  <si>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</si>
  <si>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</si>
  <si>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</si>
  <si>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</si>
  <si>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</si>
  <si>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</si>
  <si>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</si>
  <si>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</si>
  <si>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</si>
  <si>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</si>
  <si>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</si>
  <si>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</si>
  <si>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</si>
  <si>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</si>
  <si>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</si>
  <si>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</si>
  <si>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</si>
  <si>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</si>
  <si>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</si>
  <si>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</si>
  <si>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</si>
  <si>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</si>
  <si>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</si>
  <si>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</si>
  <si>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</si>
  <si>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</si>
  <si>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</si>
  <si>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</si>
  <si>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</si>
  <si>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</si>
  <si>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</si>
  <si>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</si>
  <si>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</si>
  <si>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</si>
  <si>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</si>
  <si>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</si>
  <si>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</si>
  <si>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</si>
  <si>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</si>
  <si>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</si>
  <si>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</si>
  <si>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</si>
  <si>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</si>
  <si>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</si>
  <si>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</si>
  <si>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</si>
  <si>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</si>
  <si>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</si>
  <si>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</si>
  <si>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</si>
  <si>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</si>
  <si>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</si>
  <si>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</si>
  <si>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</si>
  <si>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</si>
  <si>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</si>
  <si>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</si>
  <si>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</si>
  <si>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</si>
  <si>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</si>
  <si>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</si>
  <si>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</si>
  <si>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</si>
  <si>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</si>
  <si>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</si>
  <si>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</si>
  <si>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</si>
  <si>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</si>
  <si>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</si>
  <si>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</si>
  <si>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</si>
  <si>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</si>
  <si>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</si>
  <si>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</si>
  <si>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</si>
  <si>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</si>
  <si>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</si>
  <si>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</si>
  <si>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</si>
  <si>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</si>
  <si>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</si>
  <si>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</si>
  <si>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</si>
  <si>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</si>
  <si>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</si>
  <si>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</si>
  <si>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</si>
  <si>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</si>
  <si>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799 Forest Gate Road  Campo CA 91906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</si>
  <si>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</si>
  <si>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</si>
  <si>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</si>
  <si>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</si>
  <si>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</si>
  <si>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</si>
  <si>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</si>
  <si>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</si>
  <si>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</si>
  <si>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</si>
  <si>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</si>
  <si>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</si>
  <si>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</si>
  <si>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</si>
  <si>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</si>
  <si>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</si>
  <si>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</si>
  <si>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</si>
  <si>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</si>
  <si>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</si>
  <si>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</si>
  <si>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</si>
  <si>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</si>
  <si>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</si>
  <si>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</si>
  <si>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</si>
  <si>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</si>
  <si>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</si>
  <si>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</si>
  <si>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</si>
  <si>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</si>
  <si>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</si>
  <si>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</si>
  <si>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</si>
  <si>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</si>
  <si>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</si>
  <si>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</si>
  <si>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</si>
  <si>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</si>
  <si>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</si>
  <si>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</si>
  <si>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</si>
  <si>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</si>
  <si>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</si>
  <si>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</si>
  <si>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</si>
  <si>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</si>
  <si>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</si>
  <si>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</si>
  <si>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</si>
  <si>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</si>
  <si>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</si>
  <si>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</si>
  <si>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</si>
  <si>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</si>
  <si>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</si>
  <si>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</si>
  <si>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</si>
  <si>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</si>
  <si>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21255 Burbank Blvd Suite 600 Woodland Hills CA 91367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</si>
  <si>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</si>
  <si>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</si>
  <si>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</si>
  <si>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</si>
  <si>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</si>
  <si>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</si>
  <si>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</si>
  <si>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</si>
  <si>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</si>
  <si>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</si>
  <si>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1001 E Hillside Blvd. Ste. 610 San Mateo CA 94404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</si>
  <si>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</si>
  <si>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</si>
  <si>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</si>
  <si>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</si>
  <si>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</si>
  <si>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</si>
  <si>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</si>
  <si>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</si>
  <si>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</si>
  <si>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</si>
  <si>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</si>
  <si>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</si>
  <si>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</si>
  <si>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</si>
  <si>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</si>
  <si>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</si>
  <si>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</si>
  <si>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</si>
  <si>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</si>
  <si>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</si>
  <si>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</si>
  <si>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</si>
  <si>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</si>
  <si>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</si>
  <si>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</si>
  <si>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</si>
  <si>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</si>
  <si>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</si>
  <si>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</si>
  <si>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</si>
  <si>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</si>
  <si>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4 Hamilton Landing Suite 210 Novato CA 94949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</si>
  <si>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</si>
  <si>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</si>
  <si>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</si>
  <si>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</si>
  <si>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</si>
  <si>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</si>
  <si>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</si>
  <si>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</si>
  <si>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</si>
  <si>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</si>
  <si>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</si>
  <si>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</si>
  <si>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</si>
  <si>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</si>
  <si>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</si>
  <si>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</si>
  <si>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</si>
  <si>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</si>
  <si>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</si>
  <si>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</si>
  <si>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</si>
  <si>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</si>
  <si>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</si>
  <si>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</si>
  <si>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</si>
  <si>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</si>
  <si>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</si>
  <si>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</si>
  <si>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</si>
  <si>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</si>
  <si>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</si>
  <si>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</si>
  <si>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</si>
  <si>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</si>
  <si>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</si>
  <si>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</si>
  <si>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110 E 9th Street  Los Angeles CA 90079</t>
  </si>
  <si>
    <t>333 S Grand Ave  Los Angeles CA 90071</t>
  </si>
  <si>
    <t>333 S Hope  Los Angeles CA 90071</t>
  </si>
  <si>
    <t>601 S Figueora Street  Los Angeles CA 90017</t>
  </si>
  <si>
    <t>777 S Figueora Street  Los Angeles CA 90017</t>
  </si>
  <si>
    <t>4640 Admiralty Way  Marina Del Rey CA 90292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</si>
  <si>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</si>
  <si>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</si>
  <si>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</si>
  <si>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</si>
  <si>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</si>
  <si>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</si>
  <si>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</si>
  <si>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</si>
  <si>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</si>
  <si>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</si>
  <si>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r>
      <t xml:space="preserve">WARN REPORT - </t>
    </r>
    <r>
      <rPr>
        <b/>
        <sz val="12"/>
        <rFont val="Calibri"/>
        <family val="2"/>
        <scheme val="minor"/>
      </rPr>
      <t>07/01/23 to 02/12/24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H1109.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</si>
</sst>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109" totalsRowShown="0" headerRowDxfId="11" headerRowBorderDxfId="10" tableBorderDxfId="9" totalsRowBorderDxfId="8">
  <autoFilter ref="A2:H1109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10" sqref="A10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347</v>
      </c>
    </row>
    <row r="2" spans="1:1" ht="21" x14ac:dyDescent="0.35">
      <c r="A2" s="8" t="s">
        <v>154</v>
      </c>
    </row>
    <row r="3" spans="1:1" x14ac:dyDescent="0.25">
      <c r="A3" s="9" t="s">
        <v>152</v>
      </c>
    </row>
    <row r="4" spans="1:1" x14ac:dyDescent="0.25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346</v>
      </c>
    </row>
    <row r="2" spans="1:2" x14ac:dyDescent="0.25">
      <c r="A2" s="3" t="s">
        <v>27</v>
      </c>
      <c r="B2" s="4" t="s">
        <v>26</v>
      </c>
    </row>
    <row r="3" spans="1:2" x14ac:dyDescent="0.25">
      <c r="A3" s="2" t="s">
        <v>151</v>
      </c>
      <c r="B3" s="5">
        <f>SUM('Detailed WARN Report '!G:G)</f>
        <v>57287</v>
      </c>
    </row>
    <row r="4" spans="1:2" x14ac:dyDescent="0.25">
      <c r="A4" s="2" t="s">
        <v>20</v>
      </c>
      <c r="B4" s="5">
        <f>COUNTIF('Detailed WARN Report '!F:F,"Layoff Permanent")</f>
        <v>780</v>
      </c>
    </row>
    <row r="5" spans="1:2" x14ac:dyDescent="0.25">
      <c r="A5" s="2" t="s">
        <v>21</v>
      </c>
      <c r="B5" s="5">
        <f>COUNTIF('Detailed WARN Report '!F:F,"Layoff Temporary")</f>
        <v>26</v>
      </c>
    </row>
    <row r="6" spans="1:2" x14ac:dyDescent="0.25">
      <c r="A6" s="2" t="s">
        <v>22</v>
      </c>
      <c r="B6" s="5">
        <v>1</v>
      </c>
    </row>
    <row r="7" spans="1:2" x14ac:dyDescent="0.25">
      <c r="A7" s="2" t="s">
        <v>23</v>
      </c>
      <c r="B7" s="5">
        <f>COUNTIF('Detailed WARN Report '!F:F,"Closure Permanent")</f>
        <v>284</v>
      </c>
    </row>
    <row r="8" spans="1:2" x14ac:dyDescent="0.25">
      <c r="A8" s="2" t="s">
        <v>24</v>
      </c>
      <c r="B8" s="5">
        <f>COUNTIF('Detailed WARN Report '!F:F,"Closure Temporary")</f>
        <v>12</v>
      </c>
    </row>
    <row r="9" spans="1:2" x14ac:dyDescent="0.25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109"/>
  <sheetViews>
    <sheetView tabSelected="1" zoomScaleNormal="100" workbookViewId="0">
      <selection activeCell="I13" sqref="I13"/>
    </sheetView>
  </sheetViews>
  <sheetFormatPr defaultColWidth="26" defaultRowHeight="15" x14ac:dyDescent="0.25"/>
  <cols>
    <col min="1" max="1" width="25.85546875" bestFit="1" customWidth="1"/>
    <col min="2" max="2" width="8.7109375" bestFit="1" customWidth="1"/>
    <col min="3" max="3" width="9.85546875" bestFit="1" customWidth="1"/>
    <col min="4" max="4" width="8.7109375" style="14" bestFit="1" customWidth="1"/>
    <col min="5" max="5" width="63.28515625" style="1" customWidth="1"/>
    <col min="6" max="6" width="21.5703125" bestFit="1" customWidth="1"/>
    <col min="7" max="7" width="9.85546875" bestFit="1" customWidth="1"/>
    <col min="8" max="8" width="63" customWidth="1"/>
  </cols>
  <sheetData>
    <row r="1" spans="1:8" ht="117" x14ac:dyDescent="0.25">
      <c r="A1" s="7" t="s">
        <v>1571</v>
      </c>
      <c r="D1" s="12"/>
      <c r="E1" s="6"/>
      <c r="F1" s="6"/>
      <c r="G1" s="6"/>
      <c r="H1" s="6"/>
    </row>
    <row r="2" spans="1:8" ht="29.25" customHeight="1" x14ac:dyDescent="0.25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25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25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25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25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25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25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25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25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25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25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25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25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25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25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25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25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25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25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25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25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25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25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25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25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25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25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25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25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25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25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25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25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25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25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25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25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25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25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25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25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25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25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25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25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25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25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25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25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25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25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25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25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25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25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25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25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25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25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25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25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25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25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25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25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25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25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25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25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25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25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25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25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25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25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25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25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25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25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25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25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25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25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25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25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25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25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25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25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25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25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25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25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25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25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25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25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25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25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25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25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25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25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25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25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25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25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25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25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25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25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25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25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25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25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25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25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25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25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25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25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25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25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25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25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25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25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25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25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25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25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25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25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25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25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25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25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25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25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25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25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25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25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25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25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25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25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25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25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25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25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25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25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25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25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25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25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25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25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25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25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25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25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25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25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25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25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25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25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25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25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25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25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25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25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25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25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25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25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25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25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25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25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25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25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25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25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25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25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25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25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25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25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25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25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25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25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25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25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25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25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25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25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25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25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25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25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25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25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25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25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25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25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25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25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25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25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25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25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25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25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25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25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25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25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25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25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25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25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25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25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25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25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25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25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25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25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25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25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25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25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25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25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25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25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25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25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25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25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25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25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25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25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25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25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25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25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25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25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25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25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25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25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25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25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25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25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25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25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25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25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25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25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25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25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25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25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25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25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25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25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25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25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25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25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25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25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25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25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25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25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25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25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25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25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25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25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25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25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25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25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25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25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25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25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25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25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25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25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25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25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25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25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25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25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25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25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25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25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25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25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25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25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25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25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25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25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25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25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25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25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25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25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25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25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25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25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25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25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25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25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25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25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25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25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25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25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25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25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25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25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25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25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25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25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25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25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25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25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25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25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25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25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25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25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25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25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25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25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25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25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25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25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25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25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25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25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25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25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25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25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25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25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25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25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25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25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25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25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25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25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25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25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25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25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25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25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25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25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25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25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25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25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25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25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25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25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25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25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25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25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25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25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25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25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25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25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25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25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25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25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25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25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25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25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25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25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25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25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25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25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25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25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25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25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25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25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25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25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25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25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25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25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25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25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1438</v>
      </c>
      <c r="F447" s="17" t="s">
        <v>15</v>
      </c>
      <c r="G447" s="18">
        <v>48</v>
      </c>
      <c r="H447" s="19" t="s">
        <v>1439</v>
      </c>
    </row>
    <row r="448" spans="1:8" x14ac:dyDescent="0.25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25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25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25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25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25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25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25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25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25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25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25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25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25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25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25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25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25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25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25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25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25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25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25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25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25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25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25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25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25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25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25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25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25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25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25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25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25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25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25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25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25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25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25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25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25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25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25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25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25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25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25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25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25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25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25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25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25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25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25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25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25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25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25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25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25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25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25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25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25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25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25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25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25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25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25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25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25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25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25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25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25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25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25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25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25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25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25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25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25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25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25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25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25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25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25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25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25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25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25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25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25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25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25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25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25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25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25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25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25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25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25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25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25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25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25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25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25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25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25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25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25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25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25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25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25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25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25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25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25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25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25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25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25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25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25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25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25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25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25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25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25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25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25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25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25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25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25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25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25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25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25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25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25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25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25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25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25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25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25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25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25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25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25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25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25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25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25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25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25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25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25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25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25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25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25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25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25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25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25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25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25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25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25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25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25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25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25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25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25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25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25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25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25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25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25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25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25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25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25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25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25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25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25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25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25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25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25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25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25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25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25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25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25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25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25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25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25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25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25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25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25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25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25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25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25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25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25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25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25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25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25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25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25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25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25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25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25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25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25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25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25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25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25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25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25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25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25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25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25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25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25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25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25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25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25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25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25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25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25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25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25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25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25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25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25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25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25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25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25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25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25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25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25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25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25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25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25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25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25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25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25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25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25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25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25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25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25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25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25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25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25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25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25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25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25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25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25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25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25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25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25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25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25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25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25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25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25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25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25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25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25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25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25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25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25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25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25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25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25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25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25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25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25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25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25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25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25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25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25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25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25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25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25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25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25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25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25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25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25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25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25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25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25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25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25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25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25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25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25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25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25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25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25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25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25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25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25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25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25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25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25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25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25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25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25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25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25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25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25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ht="22.5" x14ac:dyDescent="0.25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ht="22.5" x14ac:dyDescent="0.25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25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25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25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25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25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25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25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25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25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25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25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25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25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25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25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25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25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25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25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25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25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25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25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25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25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25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25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25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25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25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25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25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25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25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25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25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25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25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25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25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25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25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25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25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25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25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25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25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25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25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25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25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25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25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25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25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25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25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25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25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25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25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25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25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25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25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25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25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25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25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25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25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25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25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25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25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25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25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25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25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25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22.5" x14ac:dyDescent="0.25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25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25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25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25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25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25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25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25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25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25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25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25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25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25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25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25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25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25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25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25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25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25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25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25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25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25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25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25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25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25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25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25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25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25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25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25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25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25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25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25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25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25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25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25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25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25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25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25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25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25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25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25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25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25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25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25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25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25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25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25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25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25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25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25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25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25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25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25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25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25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25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25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25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25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25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25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25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25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25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25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25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25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25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25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25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25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139</v>
      </c>
      <c r="H987" s="19" t="s">
        <v>1415</v>
      </c>
    </row>
    <row r="988" spans="1:8" x14ac:dyDescent="0.25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1</v>
      </c>
      <c r="H988" s="24" t="s">
        <v>1416</v>
      </c>
    </row>
    <row r="989" spans="1:8" x14ac:dyDescent="0.25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1417</v>
      </c>
    </row>
    <row r="990" spans="1:8" x14ac:dyDescent="0.25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1418</v>
      </c>
    </row>
    <row r="991" spans="1:8" x14ac:dyDescent="0.25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1419</v>
      </c>
    </row>
    <row r="992" spans="1:8" x14ac:dyDescent="0.25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1420</v>
      </c>
    </row>
    <row r="993" spans="1:8" x14ac:dyDescent="0.25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1421</v>
      </c>
    </row>
    <row r="994" spans="1:8" x14ac:dyDescent="0.25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1422</v>
      </c>
    </row>
    <row r="995" spans="1:8" x14ac:dyDescent="0.25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1423</v>
      </c>
    </row>
    <row r="996" spans="1:8" x14ac:dyDescent="0.25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1536</v>
      </c>
    </row>
    <row r="997" spans="1:8" x14ac:dyDescent="0.25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1424</v>
      </c>
    </row>
    <row r="998" spans="1:8" x14ac:dyDescent="0.25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1425</v>
      </c>
    </row>
    <row r="999" spans="1:8" x14ac:dyDescent="0.25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1426</v>
      </c>
    </row>
    <row r="1000" spans="1:8" x14ac:dyDescent="0.25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1427</v>
      </c>
    </row>
    <row r="1001" spans="1:8" x14ac:dyDescent="0.25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1428</v>
      </c>
    </row>
    <row r="1002" spans="1:8" x14ac:dyDescent="0.25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1429</v>
      </c>
    </row>
    <row r="1003" spans="1:8" x14ac:dyDescent="0.25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1430</v>
      </c>
    </row>
    <row r="1004" spans="1:8" x14ac:dyDescent="0.25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1431</v>
      </c>
    </row>
    <row r="1005" spans="1:8" x14ac:dyDescent="0.25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1432</v>
      </c>
    </row>
    <row r="1006" spans="1:8" x14ac:dyDescent="0.25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1433</v>
      </c>
    </row>
    <row r="1007" spans="1:8" x14ac:dyDescent="0.25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1434</v>
      </c>
    </row>
    <row r="1008" spans="1:8" x14ac:dyDescent="0.25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1435</v>
      </c>
    </row>
    <row r="1009" spans="1:8" x14ac:dyDescent="0.25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1436</v>
      </c>
    </row>
    <row r="1010" spans="1:8" x14ac:dyDescent="0.25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1548</v>
      </c>
      <c r="F1010" s="22" t="s">
        <v>808</v>
      </c>
      <c r="G1010" s="23">
        <v>2</v>
      </c>
      <c r="H1010" s="24" t="s">
        <v>1549</v>
      </c>
    </row>
    <row r="1011" spans="1:8" x14ac:dyDescent="0.25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1548</v>
      </c>
      <c r="F1011" s="17" t="s">
        <v>808</v>
      </c>
      <c r="G1011" s="18">
        <v>3</v>
      </c>
      <c r="H1011" s="19" t="s">
        <v>1550</v>
      </c>
    </row>
    <row r="1012" spans="1:8" x14ac:dyDescent="0.25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1548</v>
      </c>
      <c r="F1012" s="22" t="s">
        <v>808</v>
      </c>
      <c r="G1012" s="23">
        <v>1</v>
      </c>
      <c r="H1012" s="24" t="s">
        <v>1551</v>
      </c>
    </row>
    <row r="1013" spans="1:8" x14ac:dyDescent="0.25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1548</v>
      </c>
      <c r="F1013" s="17" t="s">
        <v>808</v>
      </c>
      <c r="G1013" s="18">
        <v>1</v>
      </c>
      <c r="H1013" s="19" t="s">
        <v>1552</v>
      </c>
    </row>
    <row r="1014" spans="1:8" x14ac:dyDescent="0.25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1437</v>
      </c>
    </row>
    <row r="1015" spans="1:8" x14ac:dyDescent="0.25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1440</v>
      </c>
      <c r="F1015" s="17" t="s">
        <v>15</v>
      </c>
      <c r="G1015" s="18">
        <v>160</v>
      </c>
      <c r="H1015" s="19" t="s">
        <v>1441</v>
      </c>
    </row>
    <row r="1016" spans="1:8" x14ac:dyDescent="0.25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1442</v>
      </c>
      <c r="F1016" s="22" t="s">
        <v>15</v>
      </c>
      <c r="G1016" s="23">
        <v>72</v>
      </c>
      <c r="H1016" s="24" t="s">
        <v>1443</v>
      </c>
    </row>
    <row r="1017" spans="1:8" x14ac:dyDescent="0.25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1444</v>
      </c>
      <c r="F1017" s="17" t="s">
        <v>15</v>
      </c>
      <c r="G1017" s="18">
        <v>15</v>
      </c>
      <c r="H1017" s="19" t="s">
        <v>1445</v>
      </c>
    </row>
    <row r="1018" spans="1:8" ht="22.5" x14ac:dyDescent="0.25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1446</v>
      </c>
      <c r="F1018" s="22" t="s">
        <v>16</v>
      </c>
      <c r="G1018" s="23">
        <v>58</v>
      </c>
      <c r="H1018" s="24" t="s">
        <v>1447</v>
      </c>
    </row>
    <row r="1019" spans="1:8" x14ac:dyDescent="0.25">
      <c r="A1019" s="15" t="s">
        <v>1448</v>
      </c>
      <c r="B1019" s="16">
        <v>45314</v>
      </c>
      <c r="C1019" s="16">
        <v>45323</v>
      </c>
      <c r="D1019" s="16">
        <v>45310</v>
      </c>
      <c r="E1019" s="17" t="s">
        <v>1449</v>
      </c>
      <c r="F1019" s="17" t="s">
        <v>17</v>
      </c>
      <c r="G1019" s="18">
        <v>62</v>
      </c>
      <c r="H1019" s="19" t="s">
        <v>1450</v>
      </c>
    </row>
    <row r="1020" spans="1:8" x14ac:dyDescent="0.25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1451</v>
      </c>
      <c r="F1020" s="22" t="s">
        <v>16</v>
      </c>
      <c r="G1020" s="23">
        <v>63</v>
      </c>
      <c r="H1020" s="24" t="s">
        <v>1452</v>
      </c>
    </row>
    <row r="1021" spans="1:8" x14ac:dyDescent="0.25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1453</v>
      </c>
      <c r="F1021" s="17" t="s">
        <v>16</v>
      </c>
      <c r="G1021" s="18">
        <v>1</v>
      </c>
      <c r="H1021" s="19" t="s">
        <v>1454</v>
      </c>
    </row>
    <row r="1022" spans="1:8" x14ac:dyDescent="0.25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1455</v>
      </c>
      <c r="F1022" s="22" t="s">
        <v>16</v>
      </c>
      <c r="G1022" s="23">
        <v>72</v>
      </c>
      <c r="H1022" s="24" t="s">
        <v>1456</v>
      </c>
    </row>
    <row r="1023" spans="1:8" x14ac:dyDescent="0.25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1457</v>
      </c>
      <c r="F1023" s="17" t="s">
        <v>15</v>
      </c>
      <c r="G1023" s="18">
        <v>115</v>
      </c>
      <c r="H1023" s="19" t="s">
        <v>1458</v>
      </c>
    </row>
    <row r="1024" spans="1:8" x14ac:dyDescent="0.25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1459</v>
      </c>
      <c r="F1024" s="22" t="s">
        <v>16</v>
      </c>
      <c r="G1024" s="23">
        <v>117</v>
      </c>
      <c r="H1024" s="24" t="s">
        <v>1460</v>
      </c>
    </row>
    <row r="1025" spans="1:8" x14ac:dyDescent="0.25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1461</v>
      </c>
      <c r="F1025" s="17" t="s">
        <v>16</v>
      </c>
      <c r="G1025" s="18">
        <v>14</v>
      </c>
      <c r="H1025" s="19" t="s">
        <v>1462</v>
      </c>
    </row>
    <row r="1026" spans="1:8" x14ac:dyDescent="0.25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1463</v>
      </c>
      <c r="F1026" s="22" t="s">
        <v>16</v>
      </c>
      <c r="G1026" s="23">
        <v>20</v>
      </c>
      <c r="H1026" s="24" t="s">
        <v>1464</v>
      </c>
    </row>
    <row r="1027" spans="1:8" x14ac:dyDescent="0.25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1463</v>
      </c>
      <c r="F1027" s="17" t="s">
        <v>16</v>
      </c>
      <c r="G1027" s="18">
        <v>261</v>
      </c>
      <c r="H1027" s="19" t="s">
        <v>1465</v>
      </c>
    </row>
    <row r="1028" spans="1:8" x14ac:dyDescent="0.25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1466</v>
      </c>
      <c r="F1028" s="22" t="s">
        <v>98</v>
      </c>
      <c r="G1028" s="23">
        <v>73</v>
      </c>
      <c r="H1028" s="24" t="s">
        <v>1467</v>
      </c>
    </row>
    <row r="1029" spans="1:8" x14ac:dyDescent="0.25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ht="22.5" x14ac:dyDescent="0.25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1468</v>
      </c>
      <c r="F1030" s="22" t="s">
        <v>15</v>
      </c>
      <c r="G1030" s="23">
        <v>168</v>
      </c>
      <c r="H1030" s="24" t="s">
        <v>1469</v>
      </c>
    </row>
    <row r="1031" spans="1:8" x14ac:dyDescent="0.25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1470</v>
      </c>
      <c r="F1031" s="17" t="s">
        <v>17</v>
      </c>
      <c r="G1031" s="18">
        <v>83</v>
      </c>
      <c r="H1031" s="19" t="s">
        <v>1471</v>
      </c>
    </row>
    <row r="1032" spans="1:8" x14ac:dyDescent="0.25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25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1472</v>
      </c>
      <c r="F1033" s="17" t="s">
        <v>16</v>
      </c>
      <c r="G1033" s="18">
        <v>260</v>
      </c>
      <c r="H1033" s="19" t="s">
        <v>1473</v>
      </c>
    </row>
    <row r="1034" spans="1:8" x14ac:dyDescent="0.25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1474</v>
      </c>
      <c r="F1034" s="22" t="s">
        <v>16</v>
      </c>
      <c r="G1034" s="23">
        <v>49</v>
      </c>
      <c r="H1034" s="24" t="s">
        <v>1475</v>
      </c>
    </row>
    <row r="1035" spans="1:8" x14ac:dyDescent="0.25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1476</v>
      </c>
      <c r="F1035" s="17" t="s">
        <v>16</v>
      </c>
      <c r="G1035" s="18">
        <v>10</v>
      </c>
      <c r="H1035" s="19" t="s">
        <v>1553</v>
      </c>
    </row>
    <row r="1036" spans="1:8" x14ac:dyDescent="0.25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1476</v>
      </c>
      <c r="F1036" s="22" t="s">
        <v>16</v>
      </c>
      <c r="G1036" s="23">
        <v>7</v>
      </c>
      <c r="H1036" s="24" t="s">
        <v>1477</v>
      </c>
    </row>
    <row r="1037" spans="1:8" x14ac:dyDescent="0.25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1474</v>
      </c>
      <c r="F1037" s="17" t="s">
        <v>16</v>
      </c>
      <c r="G1037" s="18">
        <v>79</v>
      </c>
      <c r="H1037" s="19" t="s">
        <v>1478</v>
      </c>
    </row>
    <row r="1038" spans="1:8" x14ac:dyDescent="0.25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1474</v>
      </c>
      <c r="F1038" s="22" t="s">
        <v>16</v>
      </c>
      <c r="G1038" s="23">
        <v>130</v>
      </c>
      <c r="H1038" s="24" t="s">
        <v>1479</v>
      </c>
    </row>
    <row r="1039" spans="1:8" x14ac:dyDescent="0.25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1480</v>
      </c>
      <c r="F1039" s="17" t="s">
        <v>15</v>
      </c>
      <c r="G1039" s="18">
        <v>39</v>
      </c>
      <c r="H1039" s="19" t="s">
        <v>1481</v>
      </c>
    </row>
    <row r="1040" spans="1:8" x14ac:dyDescent="0.25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1482</v>
      </c>
      <c r="F1040" s="22" t="s">
        <v>15</v>
      </c>
      <c r="G1040" s="23">
        <v>56</v>
      </c>
      <c r="H1040" s="24" t="s">
        <v>1483</v>
      </c>
    </row>
    <row r="1041" spans="1:8" x14ac:dyDescent="0.25">
      <c r="A1041" s="15" t="s">
        <v>1484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1485</v>
      </c>
    </row>
    <row r="1042" spans="1:8" x14ac:dyDescent="0.25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1474</v>
      </c>
      <c r="F1042" s="22" t="s">
        <v>16</v>
      </c>
      <c r="G1042" s="23">
        <v>76</v>
      </c>
      <c r="H1042" s="24" t="s">
        <v>1486</v>
      </c>
    </row>
    <row r="1043" spans="1:8" x14ac:dyDescent="0.25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1487</v>
      </c>
      <c r="F1043" s="17" t="s">
        <v>16</v>
      </c>
      <c r="G1043" s="18">
        <v>48</v>
      </c>
      <c r="H1043" s="19" t="s">
        <v>1488</v>
      </c>
    </row>
    <row r="1044" spans="1:8" x14ac:dyDescent="0.25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1489</v>
      </c>
      <c r="F1044" s="22" t="s">
        <v>16</v>
      </c>
      <c r="G1044" s="23">
        <v>8</v>
      </c>
      <c r="H1044" s="24" t="s">
        <v>1490</v>
      </c>
    </row>
    <row r="1045" spans="1:8" x14ac:dyDescent="0.25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1491</v>
      </c>
      <c r="F1045" s="17" t="s">
        <v>16</v>
      </c>
      <c r="G1045" s="18">
        <v>1</v>
      </c>
      <c r="H1045" s="19" t="s">
        <v>1492</v>
      </c>
    </row>
    <row r="1046" spans="1:8" x14ac:dyDescent="0.25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1493</v>
      </c>
      <c r="F1046" s="22" t="s">
        <v>16</v>
      </c>
      <c r="G1046" s="23">
        <v>6</v>
      </c>
      <c r="H1046" s="24" t="s">
        <v>1494</v>
      </c>
    </row>
    <row r="1047" spans="1:8" x14ac:dyDescent="0.25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1495</v>
      </c>
      <c r="F1047" s="17" t="s">
        <v>16</v>
      </c>
      <c r="G1047" s="18">
        <v>125</v>
      </c>
      <c r="H1047" s="19" t="s">
        <v>1496</v>
      </c>
    </row>
    <row r="1048" spans="1:8" x14ac:dyDescent="0.25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1474</v>
      </c>
      <c r="F1048" s="22" t="s">
        <v>16</v>
      </c>
      <c r="G1048" s="23">
        <v>478</v>
      </c>
      <c r="H1048" s="24" t="s">
        <v>1497</v>
      </c>
    </row>
    <row r="1049" spans="1:8" x14ac:dyDescent="0.25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1498</v>
      </c>
      <c r="F1049" s="17" t="s">
        <v>16</v>
      </c>
      <c r="G1049" s="18">
        <v>425</v>
      </c>
      <c r="H1049" s="19" t="s">
        <v>1499</v>
      </c>
    </row>
    <row r="1050" spans="1:8" x14ac:dyDescent="0.25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1500</v>
      </c>
      <c r="F1050" s="22" t="s">
        <v>15</v>
      </c>
      <c r="G1050" s="23">
        <v>8</v>
      </c>
      <c r="H1050" s="24" t="s">
        <v>1501</v>
      </c>
    </row>
    <row r="1051" spans="1:8" x14ac:dyDescent="0.25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1502</v>
      </c>
      <c r="F1051" s="17" t="s">
        <v>15</v>
      </c>
      <c r="G1051" s="18">
        <v>75</v>
      </c>
      <c r="H1051" s="19" t="s">
        <v>1503</v>
      </c>
    </row>
    <row r="1052" spans="1:8" x14ac:dyDescent="0.25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1504</v>
      </c>
      <c r="F1052" s="22" t="s">
        <v>17</v>
      </c>
      <c r="G1052" s="23">
        <v>5</v>
      </c>
      <c r="H1052" s="24" t="s">
        <v>1505</v>
      </c>
    </row>
    <row r="1053" spans="1:8" x14ac:dyDescent="0.25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1506</v>
      </c>
      <c r="F1053" s="17" t="s">
        <v>16</v>
      </c>
      <c r="G1053" s="18">
        <v>26</v>
      </c>
      <c r="H1053" s="19" t="s">
        <v>1338</v>
      </c>
    </row>
    <row r="1054" spans="1:8" x14ac:dyDescent="0.25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1507</v>
      </c>
      <c r="F1054" s="22" t="s">
        <v>16</v>
      </c>
      <c r="G1054" s="23">
        <v>9</v>
      </c>
      <c r="H1054" s="24" t="s">
        <v>1340</v>
      </c>
    </row>
    <row r="1055" spans="1:8" x14ac:dyDescent="0.25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1508</v>
      </c>
      <c r="F1055" s="17" t="s">
        <v>16</v>
      </c>
      <c r="G1055" s="18">
        <v>8</v>
      </c>
      <c r="H1055" s="19" t="s">
        <v>1509</v>
      </c>
    </row>
    <row r="1056" spans="1:8" x14ac:dyDescent="0.25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1510</v>
      </c>
      <c r="F1056" s="22" t="s">
        <v>16</v>
      </c>
      <c r="G1056" s="23">
        <v>1</v>
      </c>
      <c r="H1056" s="24" t="s">
        <v>1342</v>
      </c>
    </row>
    <row r="1057" spans="1:8" x14ac:dyDescent="0.25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1511</v>
      </c>
      <c r="F1057" s="17" t="s">
        <v>16</v>
      </c>
      <c r="G1057" s="18">
        <v>12</v>
      </c>
      <c r="H1057" s="19" t="s">
        <v>1512</v>
      </c>
    </row>
    <row r="1058" spans="1:8" x14ac:dyDescent="0.25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1513</v>
      </c>
      <c r="F1058" s="22" t="s">
        <v>16</v>
      </c>
      <c r="G1058" s="23">
        <v>70</v>
      </c>
      <c r="H1058" s="24" t="s">
        <v>1514</v>
      </c>
    </row>
    <row r="1059" spans="1:8" x14ac:dyDescent="0.25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1504</v>
      </c>
      <c r="F1059" s="17" t="s">
        <v>17</v>
      </c>
      <c r="G1059" s="18">
        <v>7</v>
      </c>
      <c r="H1059" s="19" t="s">
        <v>1505</v>
      </c>
    </row>
    <row r="1060" spans="1:8" x14ac:dyDescent="0.25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1515</v>
      </c>
    </row>
    <row r="1061" spans="1:8" x14ac:dyDescent="0.25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91</v>
      </c>
      <c r="H1061" s="19" t="s">
        <v>55</v>
      </c>
    </row>
    <row r="1062" spans="1:8" x14ac:dyDescent="0.25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20</v>
      </c>
      <c r="H1062" s="24" t="s">
        <v>55</v>
      </c>
    </row>
    <row r="1063" spans="1:8" x14ac:dyDescent="0.25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1516</v>
      </c>
      <c r="F1063" s="17" t="s">
        <v>15</v>
      </c>
      <c r="G1063" s="18">
        <v>241</v>
      </c>
      <c r="H1063" s="19" t="s">
        <v>1517</v>
      </c>
    </row>
    <row r="1064" spans="1:8" x14ac:dyDescent="0.25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1474</v>
      </c>
      <c r="F1064" s="22" t="s">
        <v>16</v>
      </c>
      <c r="G1064" s="23">
        <v>86</v>
      </c>
      <c r="H1064" s="24" t="s">
        <v>1518</v>
      </c>
    </row>
    <row r="1065" spans="1:8" x14ac:dyDescent="0.25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25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1519</v>
      </c>
      <c r="F1066" s="22" t="s">
        <v>16</v>
      </c>
      <c r="G1066" s="23">
        <v>60</v>
      </c>
      <c r="H1066" s="24" t="s">
        <v>1520</v>
      </c>
    </row>
    <row r="1067" spans="1:8" x14ac:dyDescent="0.25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1521</v>
      </c>
      <c r="F1067" s="17" t="s">
        <v>16</v>
      </c>
      <c r="G1067" s="18">
        <v>122</v>
      </c>
      <c r="H1067" s="19" t="s">
        <v>1522</v>
      </c>
    </row>
    <row r="1068" spans="1:8" x14ac:dyDescent="0.25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1521</v>
      </c>
      <c r="F1068" s="22" t="s">
        <v>16</v>
      </c>
      <c r="G1068" s="23">
        <v>52</v>
      </c>
      <c r="H1068" s="24" t="s">
        <v>1523</v>
      </c>
    </row>
    <row r="1069" spans="1:8" x14ac:dyDescent="0.25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1524</v>
      </c>
      <c r="F1069" s="17" t="s">
        <v>15</v>
      </c>
      <c r="G1069" s="18">
        <v>92</v>
      </c>
      <c r="H1069" s="19" t="s">
        <v>1525</v>
      </c>
    </row>
    <row r="1070" spans="1:8" x14ac:dyDescent="0.25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1526</v>
      </c>
      <c r="F1070" s="22" t="s">
        <v>16</v>
      </c>
      <c r="G1070" s="23">
        <v>4</v>
      </c>
      <c r="H1070" s="24" t="s">
        <v>848</v>
      </c>
    </row>
    <row r="1071" spans="1:8" x14ac:dyDescent="0.25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1527</v>
      </c>
      <c r="F1071" s="17" t="s">
        <v>16</v>
      </c>
      <c r="G1071" s="18">
        <v>51</v>
      </c>
      <c r="H1071" s="19" t="s">
        <v>1528</v>
      </c>
    </row>
    <row r="1072" spans="1:8" x14ac:dyDescent="0.25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1529</v>
      </c>
      <c r="F1072" s="22" t="s">
        <v>16</v>
      </c>
      <c r="G1072" s="23">
        <v>83</v>
      </c>
      <c r="H1072" s="24" t="s">
        <v>1530</v>
      </c>
    </row>
    <row r="1073" spans="1:8" x14ac:dyDescent="0.25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25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1531</v>
      </c>
      <c r="F1074" s="22" t="s">
        <v>16</v>
      </c>
      <c r="G1074" s="23">
        <v>311</v>
      </c>
      <c r="H1074" s="24" t="s">
        <v>1532</v>
      </c>
    </row>
    <row r="1075" spans="1:8" x14ac:dyDescent="0.25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1533</v>
      </c>
      <c r="F1075" s="17" t="s">
        <v>16</v>
      </c>
      <c r="G1075" s="18">
        <v>43</v>
      </c>
      <c r="H1075" s="19" t="s">
        <v>1534</v>
      </c>
    </row>
    <row r="1076" spans="1:8" x14ac:dyDescent="0.25">
      <c r="A1076" s="20" t="s">
        <v>281</v>
      </c>
      <c r="B1076" s="21">
        <v>45323</v>
      </c>
      <c r="C1076" s="21">
        <v>45327</v>
      </c>
      <c r="D1076" s="21">
        <v>45295</v>
      </c>
      <c r="E1076" s="22" t="s">
        <v>969</v>
      </c>
      <c r="F1076" s="22" t="s">
        <v>16</v>
      </c>
      <c r="G1076" s="23">
        <v>1</v>
      </c>
      <c r="H1076" s="24" t="s">
        <v>1535</v>
      </c>
    </row>
    <row r="1077" spans="1:8" x14ac:dyDescent="0.25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1537</v>
      </c>
      <c r="F1077" s="17" t="s">
        <v>16</v>
      </c>
      <c r="G1077" s="18">
        <v>120</v>
      </c>
      <c r="H1077" s="19" t="s">
        <v>1538</v>
      </c>
    </row>
    <row r="1078" spans="1:8" x14ac:dyDescent="0.25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1539</v>
      </c>
      <c r="F1078" s="22" t="s">
        <v>16</v>
      </c>
      <c r="G1078" s="23">
        <v>57</v>
      </c>
      <c r="H1078" s="24" t="s">
        <v>1540</v>
      </c>
    </row>
    <row r="1079" spans="1:8" x14ac:dyDescent="0.25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1541</v>
      </c>
      <c r="F1079" s="17" t="s">
        <v>16</v>
      </c>
      <c r="G1079" s="18">
        <v>16</v>
      </c>
      <c r="H1079" s="19" t="s">
        <v>1542</v>
      </c>
    </row>
    <row r="1080" spans="1:8" x14ac:dyDescent="0.25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25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1543</v>
      </c>
    </row>
    <row r="1082" spans="1:8" x14ac:dyDescent="0.25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25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25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1543</v>
      </c>
    </row>
    <row r="1085" spans="1:8" x14ac:dyDescent="0.25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25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25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25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25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25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25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25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25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25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25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1544</v>
      </c>
      <c r="F1095" s="17" t="s">
        <v>15</v>
      </c>
      <c r="G1095" s="18">
        <v>13</v>
      </c>
      <c r="H1095" s="19" t="s">
        <v>1545</v>
      </c>
    </row>
    <row r="1096" spans="1:8" x14ac:dyDescent="0.25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1546</v>
      </c>
      <c r="F1096" s="22" t="s">
        <v>16</v>
      </c>
      <c r="G1096" s="23">
        <v>81</v>
      </c>
      <c r="H1096" s="24" t="s">
        <v>1547</v>
      </c>
    </row>
    <row r="1097" spans="1:8" x14ac:dyDescent="0.25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1554</v>
      </c>
      <c r="F1097" s="17" t="s">
        <v>16</v>
      </c>
      <c r="G1097" s="18">
        <v>100</v>
      </c>
      <c r="H1097" s="19" t="s">
        <v>1555</v>
      </c>
    </row>
    <row r="1098" spans="1:8" x14ac:dyDescent="0.25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1554</v>
      </c>
      <c r="F1098" s="22" t="s">
        <v>16</v>
      </c>
      <c r="G1098" s="23">
        <v>1</v>
      </c>
      <c r="H1098" s="24" t="s">
        <v>1556</v>
      </c>
    </row>
    <row r="1099" spans="1:8" x14ac:dyDescent="0.25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1554</v>
      </c>
      <c r="F1099" s="17" t="s">
        <v>16</v>
      </c>
      <c r="G1099" s="18">
        <v>1</v>
      </c>
      <c r="H1099" s="19" t="s">
        <v>1557</v>
      </c>
    </row>
    <row r="1100" spans="1:8" x14ac:dyDescent="0.25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1554</v>
      </c>
      <c r="F1100" s="22" t="s">
        <v>16</v>
      </c>
      <c r="G1100" s="23">
        <v>1</v>
      </c>
      <c r="H1100" s="24" t="s">
        <v>1558</v>
      </c>
    </row>
    <row r="1101" spans="1:8" x14ac:dyDescent="0.25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1554</v>
      </c>
      <c r="F1101" s="17" t="s">
        <v>16</v>
      </c>
      <c r="G1101" s="18">
        <v>1</v>
      </c>
      <c r="H1101" s="19" t="s">
        <v>1559</v>
      </c>
    </row>
    <row r="1102" spans="1:8" x14ac:dyDescent="0.25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1554</v>
      </c>
      <c r="F1102" s="22" t="s">
        <v>16</v>
      </c>
      <c r="G1102" s="23">
        <v>1</v>
      </c>
      <c r="H1102" s="24" t="s">
        <v>1560</v>
      </c>
    </row>
    <row r="1103" spans="1:8" x14ac:dyDescent="0.25">
      <c r="A1103" s="15" t="s">
        <v>51</v>
      </c>
      <c r="B1103" s="16">
        <v>45329</v>
      </c>
      <c r="C1103" s="16">
        <v>45330</v>
      </c>
      <c r="D1103" s="16">
        <v>45390</v>
      </c>
      <c r="E1103" s="17" t="s">
        <v>1561</v>
      </c>
      <c r="F1103" s="17" t="s">
        <v>16</v>
      </c>
      <c r="G1103" s="18">
        <v>82</v>
      </c>
      <c r="H1103" s="19" t="s">
        <v>1562</v>
      </c>
    </row>
    <row r="1104" spans="1:8" x14ac:dyDescent="0.25">
      <c r="A1104" s="20" t="s">
        <v>5</v>
      </c>
      <c r="B1104" s="21">
        <v>45331</v>
      </c>
      <c r="C1104" s="21">
        <v>45331</v>
      </c>
      <c r="D1104" s="21">
        <v>45408</v>
      </c>
      <c r="E1104" s="22" t="s">
        <v>1563</v>
      </c>
      <c r="F1104" s="22" t="s">
        <v>15</v>
      </c>
      <c r="G1104" s="23">
        <v>55</v>
      </c>
      <c r="H1104" s="24" t="s">
        <v>1564</v>
      </c>
    </row>
    <row r="1105" spans="1:8" x14ac:dyDescent="0.25">
      <c r="A1105" s="15" t="s">
        <v>281</v>
      </c>
      <c r="B1105" s="16">
        <v>45330</v>
      </c>
      <c r="C1105" s="16">
        <v>45331</v>
      </c>
      <c r="D1105" s="16">
        <v>45420</v>
      </c>
      <c r="E1105" s="17" t="s">
        <v>1565</v>
      </c>
      <c r="F1105" s="17" t="s">
        <v>16</v>
      </c>
      <c r="G1105" s="18">
        <v>55</v>
      </c>
      <c r="H1105" s="19" t="s">
        <v>1566</v>
      </c>
    </row>
    <row r="1106" spans="1:8" x14ac:dyDescent="0.25">
      <c r="A1106" s="20" t="s">
        <v>5</v>
      </c>
      <c r="B1106" s="21">
        <v>45329</v>
      </c>
      <c r="C1106" s="21">
        <v>45331</v>
      </c>
      <c r="D1106" s="21">
        <v>45389</v>
      </c>
      <c r="E1106" s="22" t="s">
        <v>1567</v>
      </c>
      <c r="F1106" s="22" t="s">
        <v>16</v>
      </c>
      <c r="G1106" s="23">
        <v>521</v>
      </c>
      <c r="H1106" s="24" t="s">
        <v>1568</v>
      </c>
    </row>
    <row r="1107" spans="1:8" x14ac:dyDescent="0.25">
      <c r="A1107" s="15" t="s">
        <v>5</v>
      </c>
      <c r="B1107" s="16">
        <v>45334</v>
      </c>
      <c r="C1107" s="16">
        <v>45334</v>
      </c>
      <c r="D1107" s="16">
        <v>45394</v>
      </c>
      <c r="E1107" s="17" t="s">
        <v>1569</v>
      </c>
      <c r="F1107" s="17" t="s">
        <v>15</v>
      </c>
      <c r="G1107" s="18">
        <v>84</v>
      </c>
      <c r="H1107" s="19" t="s">
        <v>1570</v>
      </c>
    </row>
    <row r="1108" spans="1:8" x14ac:dyDescent="0.25">
      <c r="A1108" s="20" t="s">
        <v>5</v>
      </c>
      <c r="B1108" s="21">
        <v>45334</v>
      </c>
      <c r="C1108" s="21">
        <v>45334</v>
      </c>
      <c r="D1108" s="21">
        <v>45396</v>
      </c>
      <c r="E1108" s="22" t="s">
        <v>631</v>
      </c>
      <c r="F1108" s="22" t="s">
        <v>16</v>
      </c>
      <c r="G1108" s="23">
        <v>32</v>
      </c>
      <c r="H1108" s="24" t="s">
        <v>632</v>
      </c>
    </row>
    <row r="1109" spans="1:8" x14ac:dyDescent="0.25">
      <c r="A1109" s="15" t="s">
        <v>5</v>
      </c>
      <c r="B1109" s="16">
        <v>45334</v>
      </c>
      <c r="C1109" s="16">
        <v>45334</v>
      </c>
      <c r="D1109" s="16">
        <v>45396</v>
      </c>
      <c r="E1109" s="17" t="s">
        <v>631</v>
      </c>
      <c r="F1109" s="17" t="s">
        <v>16</v>
      </c>
      <c r="G1109" s="18">
        <v>24</v>
      </c>
      <c r="H1109" s="19" t="s">
        <v>633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17870F2-8C84-4C3D-AC0F-CF778F92642E}"/>
</file>

<file path=customXml/itemProps2.xml><?xml version="1.0" encoding="utf-8"?>
<ds:datastoreItem xmlns:ds="http://schemas.openxmlformats.org/officeDocument/2006/customXml" ds:itemID="{9C8B01A8-9EDE-4ED1-ADD4-CA3CFA990214}"/>
</file>

<file path=customXml/itemProps3.xml><?xml version="1.0" encoding="utf-8"?>
<ds:datastoreItem xmlns:ds="http://schemas.openxmlformats.org/officeDocument/2006/customXml" ds:itemID="{95CE815D-9513-411B-BAAC-0AC61B9ECC6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2024-02-13T16:03:53Z</dcterms:modified>
  <cp:category>Calculating WARN Report</cp:category>
</cp:coreProperties>
</file>