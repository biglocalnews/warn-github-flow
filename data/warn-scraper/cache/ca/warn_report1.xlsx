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F08E7CA0-3589-4039-A0D9-F0BCD72D5ABD}" xr6:coauthVersionLast="47" xr6:coauthVersionMax="47" xr10:uidLastSave="{00000000-0000-0000-0000-000000000000}"/>
  <bookViews>
    <workbookView xWindow="-28920" yWindow="-120" windowWidth="29040" windowHeight="1584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<sst xmlns="http://schemas.openxmlformats.org/spreadsheetml/2006/main" count="5866" uniqueCount="1594">
  <si>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</si>
  <si>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</si>
  <si>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</si>
  <si>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</si>
  <si>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</si>
  <si>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</si>
  <si>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</si>
  <si>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</si>
  <si>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</si>
  <si>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</si>
  <si>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</si>
  <si>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</si>
  <si>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</si>
  <si>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</si>
  <si>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</si>
  <si>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</si>
  <si>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</si>
  <si>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</si>
  <si>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</si>
  <si>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</si>
  <si>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</si>
  <si>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</si>
  <si>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</si>
  <si>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</si>
  <si>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</si>
  <si>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</si>
  <si>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</si>
  <si>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</si>
  <si>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</si>
  <si>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</si>
  <si>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</si>
  <si>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</si>
  <si>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</si>
  <si>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</si>
  <si>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</si>
  <si>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</si>
  <si>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</si>
  <si>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</si>
  <si>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</si>
  <si>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</si>
  <si>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</si>
  <si>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</si>
  <si>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</si>
  <si>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</si>
  <si>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</si>
  <si>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</si>
  <si>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</si>
  <si>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</si>
  <si>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</si>
  <si>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</si>
  <si>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</si>
  <si>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</si>
  <si>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</si>
  <si>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</si>
  <si>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</si>
  <si>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</si>
  <si>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</si>
  <si>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</si>
  <si>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</si>
  <si>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</si>
  <si>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</si>
  <si>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</si>
  <si>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</si>
  <si>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</si>
  <si>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</si>
  <si>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</si>
  <si>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</si>
  <si>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</si>
  <si>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</si>
  <si>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</si>
  <si>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</si>
  <si>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</si>
  <si>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</si>
  <si>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</si>
  <si>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</si>
  <si>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</si>
  <si>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</si>
  <si>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</si>
  <si>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</si>
  <si>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</si>
  <si>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</si>
  <si>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</si>
  <si>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</si>
  <si>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</si>
  <si>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</si>
  <si>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</si>
  <si>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</si>
  <si>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</si>
  <si>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</si>
  <si>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</si>
  <si>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</si>
  <si>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</si>
  <si>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</si>
  <si>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</si>
  <si>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</si>
  <si>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</si>
  <si>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</si>
  <si>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</si>
  <si>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</si>
  <si>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</si>
  <si>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</si>
  <si>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</si>
  <si>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</si>
  <si>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</si>
  <si>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</si>
  <si>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</si>
  <si>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</si>
  <si>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</si>
  <si>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</si>
  <si>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</si>
  <si>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</si>
  <si>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</si>
  <si>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</si>
  <si>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</si>
  <si>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</si>
  <si>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</si>
  <si>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</si>
  <si>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</si>
  <si>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</si>
  <si>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</si>
  <si>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</si>
  <si>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</si>
  <si>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</si>
  <si>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</si>
  <si>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</si>
  <si>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</si>
  <si>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</si>
  <si>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</si>
  <si>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</si>
  <si>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</si>
  <si>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</si>
  <si>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</si>
  <si>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</si>
  <si>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</si>
  <si>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</si>
  <si>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</si>
  <si>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</si>
  <si>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</si>
  <si>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</si>
  <si>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</si>
  <si>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</si>
  <si>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</si>
  <si>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</si>
  <si>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</si>
  <si>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</si>
  <si>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</si>
  <si>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</si>
  <si>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</si>
  <si>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</si>
  <si>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</si>
  <si>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</si>
  <si>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</si>
  <si>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</si>
  <si>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</si>
  <si>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</si>
  <si>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</si>
  <si>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</si>
  <si>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</si>
  <si>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</si>
  <si>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</si>
  <si>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</si>
  <si>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</si>
  <si>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</si>
  <si>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</si>
  <si>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</si>
  <si>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</si>
  <si>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</si>
  <si>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</si>
  <si>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</si>
  <si>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</si>
  <si>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</si>
  <si>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</si>
  <si>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</si>
  <si>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</si>
  <si>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</si>
  <si>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</si>
  <si>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</si>
  <si>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</si>
  <si>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</si>
  <si>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</si>
  <si>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</si>
  <si>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</si>
  <si>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</si>
  <si>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</si>
  <si>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</si>
  <si>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</si>
  <si>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</si>
  <si>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</si>
  <si>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</si>
  <si>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</si>
  <si>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</si>
  <si>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</si>
  <si>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</si>
  <si>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</si>
  <si>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</si>
  <si>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</si>
  <si>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</si>
  <si>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</si>
  <si>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</si>
  <si>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</si>
  <si>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</si>
  <si>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</si>
  <si>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</si>
  <si>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</si>
  <si>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</si>
  <si>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</si>
  <si>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</si>
  <si>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</si>
  <si>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</si>
  <si>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</si>
  <si>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</si>
  <si>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</si>
  <si>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</si>
  <si>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</si>
  <si>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</si>
  <si>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</si>
  <si>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</si>
  <si>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</si>
  <si>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</si>
  <si>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</si>
  <si>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</si>
  <si>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</si>
  <si>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</si>
  <si>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</si>
  <si>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</si>
  <si>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</si>
  <si>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</si>
  <si>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</si>
  <si>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</si>
  <si>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</si>
  <si>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</si>
  <si>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</si>
  <si>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</si>
  <si>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</si>
  <si>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</si>
  <si>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</si>
  <si>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</si>
  <si>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</si>
  <si>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</si>
  <si>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</si>
  <si>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</si>
  <si>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</si>
  <si>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</si>
  <si>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</si>
  <si>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</si>
  <si>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</si>
  <si>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</si>
  <si>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</si>
  <si>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</si>
  <si>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</si>
  <si>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</si>
  <si>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</si>
  <si>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</si>
  <si>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</si>
  <si>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</si>
  <si>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</si>
  <si>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</si>
  <si>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</si>
  <si>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</si>
  <si>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</si>
  <si>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</si>
  <si>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</si>
  <si>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</si>
  <si>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</si>
  <si>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</si>
  <si>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</si>
  <si>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</si>
  <si>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</si>
  <si>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</si>
  <si>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</si>
  <si>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</si>
  <si>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</si>
  <si>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</si>
  <si>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</si>
  <si>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</si>
  <si>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</si>
  <si>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</si>
  <si>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</si>
  <si>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</si>
  <si>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</si>
  <si>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</si>
  <si>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</si>
  <si>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</si>
  <si>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</si>
  <si>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</si>
  <si>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</si>
  <si>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</si>
  <si>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</si>
  <si>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</si>
  <si>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</si>
  <si>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</si>
  <si>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</si>
  <si>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</si>
  <si>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</si>
  <si>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</si>
  <si>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</si>
  <si>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</si>
  <si>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</si>
  <si>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</si>
  <si>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</si>
  <si>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</si>
  <si>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</si>
  <si>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</si>
  <si>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</si>
  <si>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</si>
  <si>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</si>
  <si>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</si>
  <si>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</si>
  <si>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</si>
  <si>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</si>
  <si>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</si>
  <si>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</si>
  <si>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</si>
  <si>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</si>
  <si>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</si>
  <si>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</si>
  <si>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</si>
  <si>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</si>
  <si>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</si>
  <si>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</si>
  <si>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</si>
  <si>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</si>
  <si>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</si>
  <si>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</si>
  <si>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</si>
  <si>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</si>
  <si>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</si>
  <si>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</si>
  <si>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</si>
  <si>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</si>
  <si>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</si>
  <si>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</si>
  <si>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</si>
  <si>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</si>
  <si>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</si>
  <si>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</si>
  <si>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</si>
  <si>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</si>
  <si>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</si>
  <si>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</si>
  <si>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</si>
  <si>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</si>
  <si>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</si>
  <si>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</si>
  <si>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</si>
  <si>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</si>
  <si>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</si>
  <si>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</si>
  <si>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</si>
  <si>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</si>
  <si>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</si>
  <si>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</si>
  <si>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</si>
  <si>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</si>
  <si>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</si>
  <si>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</si>
  <si>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</si>
  <si>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</si>
  <si>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</si>
  <si>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</si>
  <si>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</si>
  <si>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</si>
  <si>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</si>
  <si>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</si>
  <si>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</si>
  <si>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</si>
  <si>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</si>
  <si>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</si>
  <si>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</si>
  <si>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</si>
  <si>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</si>
  <si>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</si>
  <si>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</si>
  <si>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</si>
  <si>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</si>
  <si>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</si>
  <si>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</si>
  <si>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</si>
  <si>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</si>
  <si>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</si>
  <si>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</si>
  <si>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</si>
  <si>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</si>
  <si>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</si>
  <si>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</si>
  <si>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</si>
  <si>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</si>
  <si>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</si>
  <si>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</si>
  <si>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</si>
  <si>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</si>
  <si>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</si>
  <si>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</si>
  <si>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</si>
  <si>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</si>
  <si>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</si>
  <si>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</si>
  <si>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</si>
  <si>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</si>
  <si>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</si>
  <si>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</si>
  <si>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</si>
  <si>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</si>
  <si>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</si>
  <si>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</si>
  <si>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</si>
  <si>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</si>
  <si>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</si>
  <si>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</si>
  <si>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</si>
  <si>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</si>
  <si>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</si>
  <si>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</si>
  <si>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</si>
  <si>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</si>
  <si>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</si>
  <si>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</si>
  <si>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</si>
  <si>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</si>
  <si>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</si>
  <si>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</si>
  <si>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</si>
  <si>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</si>
  <si>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</si>
  <si>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</si>
  <si>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</si>
  <si>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</si>
  <si>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</si>
  <si>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</si>
  <si>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</si>
  <si>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</si>
  <si>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</si>
  <si>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</si>
  <si>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</si>
  <si>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</si>
  <si>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</si>
  <si>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</si>
  <si>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</si>
  <si>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</si>
  <si>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</si>
  <si>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</si>
  <si>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</si>
  <si>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</si>
  <si>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</si>
  <si>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</si>
  <si>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</si>
  <si>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</si>
  <si>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</si>
  <si>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</si>
  <si>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</si>
  <si>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</si>
  <si>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</si>
  <si>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</si>
  <si>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</si>
  <si>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</si>
  <si>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</si>
  <si>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</si>
  <si>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</si>
  <si>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</si>
  <si>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</si>
  <si>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</si>
  <si>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</si>
  <si>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</si>
  <si>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</si>
  <si>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</si>
  <si>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</si>
  <si>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</si>
  <si>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</si>
  <si>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</si>
  <si>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</si>
  <si>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</si>
  <si>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</si>
  <si>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</si>
  <si>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</si>
  <si>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</si>
  <si>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</si>
  <si>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</si>
  <si>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</si>
  <si>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</si>
  <si>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</si>
  <si>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</si>
  <si>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</si>
  <si>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</si>
  <si>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</si>
  <si>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</si>
  <si>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</si>
  <si>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</si>
  <si>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</si>
  <si>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</si>
  <si>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</si>
  <si>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</si>
  <si>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</si>
  <si>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</si>
  <si>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</si>
  <si>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</si>
  <si>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</si>
  <si>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</si>
  <si>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</si>
  <si>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</si>
  <si>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</si>
  <si>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</si>
  <si>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</si>
  <si>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</si>
  <si>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</si>
  <si>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</si>
  <si>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</si>
  <si>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</si>
  <si>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</si>
  <si>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</si>
  <si>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</si>
  <si>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</si>
  <si>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</si>
  <si>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</si>
  <si>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</si>
  <si>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</si>
  <si>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</si>
  <si>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</si>
  <si>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</si>
  <si>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</si>
  <si>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</si>
  <si>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</si>
  <si>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</si>
  <si>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</si>
  <si>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</si>
  <si>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</si>
  <si>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</si>
  <si>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</si>
  <si>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</si>
  <si>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</si>
  <si>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</si>
  <si>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</si>
  <si>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</si>
  <si>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</si>
  <si>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</si>
  <si>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</si>
  <si>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</si>
  <si>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</si>
  <si>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</si>
  <si>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</si>
  <si>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</si>
  <si>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</si>
  <si>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</si>
  <si>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</si>
  <si>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</si>
  <si>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</si>
  <si>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</si>
  <si>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</si>
  <si>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</si>
  <si>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</si>
  <si>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</si>
  <si>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</si>
  <si>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</si>
  <si>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</si>
  <si>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</si>
  <si>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</si>
  <si>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</si>
  <si>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</si>
  <si>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</si>
  <si>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</si>
  <si>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</si>
  <si>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</si>
  <si>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</si>
  <si>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</si>
  <si>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</si>
  <si>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</si>
  <si>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</si>
  <si>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</si>
  <si>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</si>
  <si>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</si>
  <si>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</si>
  <si>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</si>
  <si>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</si>
  <si>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</si>
  <si>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</si>
  <si>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</si>
  <si>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</si>
  <si>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</si>
  <si>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</si>
  <si>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</si>
  <si>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</si>
  <si>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</si>
  <si>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</si>
  <si>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</si>
  <si>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</si>
  <si>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</si>
  <si>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</si>
  <si>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</si>
  <si>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</si>
  <si>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</si>
  <si>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</si>
  <si>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</si>
  <si>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</si>
  <si>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</si>
  <si>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</si>
  <si>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</si>
  <si>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</si>
  <si>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</si>
  <si>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</si>
  <si>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</si>
  <si>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</si>
  <si>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</si>
  <si>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</si>
  <si>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</si>
  <si>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</si>
  <si>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</si>
  <si>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</si>
  <si>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</si>
  <si>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</si>
  <si>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</si>
  <si>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</si>
  <si>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</si>
  <si>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</si>
  <si>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</si>
  <si>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</si>
  <si>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</si>
  <si>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</si>
  <si>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</si>
  <si>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</si>
  <si>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</si>
  <si>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</si>
  <si>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</si>
  <si>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</si>
  <si>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</si>
  <si>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</si>
  <si>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</si>
  <si>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</si>
  <si>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</si>
  <si>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</si>
  <si>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</si>
  <si>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</si>
  <si>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</si>
  <si>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</si>
  <si>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</si>
  <si>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</si>
  <si>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</si>
  <si>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</si>
  <si>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</si>
  <si>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</si>
  <si>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</si>
  <si>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</si>
  <si>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</si>
  <si>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</si>
  <si>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</si>
  <si>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</si>
  <si>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</si>
  <si>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</si>
  <si>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</si>
  <si>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</si>
  <si>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</si>
  <si>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</si>
  <si>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</si>
  <si>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</si>
  <si>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</si>
  <si>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</si>
  <si>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</si>
  <si>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</si>
  <si>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</si>
  <si>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</si>
  <si>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</si>
  <si>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</si>
  <si>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</si>
  <si>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</si>
  <si>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</si>
  <si>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</si>
  <si>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</si>
  <si>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</si>
  <si>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</si>
  <si>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</si>
  <si>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</si>
  <si>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</si>
  <si>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</si>
  <si>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</si>
  <si>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</si>
  <si>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</si>
  <si>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</si>
  <si>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</si>
  <si>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</si>
  <si>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</si>
  <si>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</si>
  <si>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</si>
  <si>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</si>
  <si>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</si>
  <si>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</si>
  <si>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</si>
  <si>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</si>
  <si>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</si>
  <si>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</si>
  <si>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</si>
  <si>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</si>
  <si>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</si>
  <si>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</si>
  <si>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</si>
  <si>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</si>
  <si>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</si>
  <si>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</si>
  <si>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</si>
  <si>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</si>
  <si>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</si>
  <si>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</si>
  <si>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</si>
  <si>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</si>
  <si>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</si>
  <si>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</si>
  <si>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</si>
  <si>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</si>
  <si>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</si>
  <si>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</si>
  <si>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</si>
  <si>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</si>
  <si>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</si>
  <si>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</si>
  <si>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</si>
  <si>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</si>
  <si>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</si>
  <si>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</si>
  <si>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</si>
  <si>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</si>
  <si>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</si>
  <si>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</si>
  <si>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</si>
  <si>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</si>
  <si>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</si>
  <si>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</si>
  <si>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</si>
  <si>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</si>
  <si>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</si>
  <si>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</si>
  <si>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</si>
  <si>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</si>
  <si>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</si>
  <si>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</si>
  <si>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</si>
  <si>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</si>
  <si>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</si>
  <si>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</si>
  <si>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</si>
  <si>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</si>
  <si>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</si>
  <si>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</si>
  <si>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</si>
  <si>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</si>
  <si>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</si>
  <si>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</si>
  <si>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</si>
  <si>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</si>
  <si>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</si>
  <si>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</si>
  <si>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</si>
  <si>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</si>
  <si>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</si>
  <si>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</si>
  <si>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</si>
  <si>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</si>
  <si>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</si>
  <si>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</si>
  <si>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</si>
  <si>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</si>
  <si>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</si>
  <si>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</si>
  <si>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</si>
  <si>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</si>
  <si>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</si>
  <si>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</si>
  <si>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</si>
  <si>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</si>
  <si>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</si>
  <si>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</si>
  <si>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</si>
  <si>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</si>
  <si>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</si>
  <si>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</si>
  <si>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</si>
  <si>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</si>
  <si>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</si>
  <si>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</si>
  <si>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</si>
  <si>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</si>
  <si>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</si>
  <si>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</si>
  <si>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</si>
  <si>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</si>
  <si>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</si>
  <si>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</si>
  <si>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</si>
  <si>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</si>
  <si>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</si>
  <si>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</si>
  <si>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</si>
  <si>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</si>
  <si>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</si>
  <si>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</si>
  <si>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</si>
  <si>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</si>
  <si>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</si>
  <si>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</si>
  <si>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</si>
  <si>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</si>
  <si>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</si>
  <si>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</si>
  <si>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</si>
  <si>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</si>
  <si>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</si>
  <si>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</si>
  <si>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</si>
  <si>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</si>
  <si>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</si>
  <si>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</si>
  <si>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</si>
  <si>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</si>
  <si>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</si>
  <si>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</si>
  <si>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</si>
  <si>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</si>
  <si>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</si>
  <si>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</si>
  <si>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</si>
  <si>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</si>
  <si>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</si>
  <si>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</si>
  <si>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</si>
  <si>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</si>
  <si>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</si>
  <si>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</si>
  <si>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</si>
  <si>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</si>
  <si>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</si>
  <si>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</si>
  <si>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</si>
  <si>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</si>
  <si>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</si>
  <si>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</si>
  <si>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</si>
  <si>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</si>
  <si>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</si>
  <si>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</si>
  <si>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</si>
  <si>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</si>
  <si>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</si>
  <si>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</si>
  <si>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</si>
  <si>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</si>
  <si>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</si>
  <si>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</si>
  <si>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</si>
  <si>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</si>
  <si>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</si>
  <si>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</si>
  <si>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</si>
  <si>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</si>
  <si>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</si>
  <si>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</si>
  <si>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</si>
  <si>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</si>
  <si>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</si>
  <si>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</si>
  <si>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</si>
  <si>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</si>
  <si>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</si>
  <si>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</si>
  <si>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</si>
  <si>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</si>
  <si>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</si>
  <si>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</si>
  <si>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</si>
  <si>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</si>
  <si>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</si>
  <si>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</si>
  <si>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</si>
  <si>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</si>
  <si>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</si>
  <si>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</si>
  <si>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</si>
  <si>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</si>
  <si>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</si>
  <si>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</si>
  <si>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</si>
  <si>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</si>
  <si>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</si>
  <si>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</si>
  <si>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</si>
  <si>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</si>
  <si>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</si>
  <si>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</si>
  <si>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</si>
  <si>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</si>
  <si>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</si>
  <si>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</si>
  <si>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</si>
  <si>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</si>
  <si>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</si>
  <si>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</si>
  <si>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</si>
  <si>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</si>
  <si>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</si>
  <si>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</si>
  <si>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</si>
  <si>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</si>
  <si>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</si>
  <si>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</si>
  <si>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</si>
  <si>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</si>
  <si>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</si>
  <si>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</si>
  <si>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</si>
  <si>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</si>
  <si>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</si>
  <si>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</si>
  <si>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</si>
  <si>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</si>
  <si>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</si>
  <si>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</si>
  <si>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</si>
  <si>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</si>
  <si>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</si>
  <si>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</si>
  <si>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</si>
  <si>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</si>
  <si>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</si>
  <si>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</si>
  <si>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</si>
  <si>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</si>
  <si>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</si>
  <si>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</si>
  <si>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</si>
  <si>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</si>
  <si>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</si>
  <si>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</si>
  <si>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</si>
  <si>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</si>
  <si>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</si>
  <si>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</si>
  <si>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</si>
  <si>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</si>
  <si>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</si>
  <si>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</si>
  <si>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</si>
  <si>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</si>
  <si>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</si>
  <si>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</si>
  <si>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</si>
  <si>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</si>
  <si>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</si>
  <si>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</si>
  <si>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</si>
  <si>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</si>
  <si>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</si>
  <si>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</si>
  <si>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</si>
  <si>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</si>
  <si>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</si>
  <si>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</si>
  <si>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</si>
  <si>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</si>
  <si>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</si>
  <si>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</si>
  <si>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</si>
  <si>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</si>
  <si>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</si>
  <si>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</si>
  <si>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</si>
  <si>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</si>
  <si>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</si>
  <si>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</si>
  <si>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</si>
  <si>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</si>
  <si>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</si>
  <si>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</si>
  <si>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</si>
  <si>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</si>
  <si>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</si>
  <si>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</si>
  <si>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</si>
  <si>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</si>
  <si>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</si>
  <si>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</si>
  <si>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</si>
  <si>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</si>
  <si>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</si>
  <si>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</si>
  <si>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</si>
  <si>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</si>
  <si>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</si>
  <si>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</si>
  <si>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</si>
  <si>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</si>
  <si>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</si>
  <si>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</si>
  <si>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</si>
  <si>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</si>
  <si>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</si>
  <si>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</si>
  <si>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</si>
  <si>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</si>
  <si>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</si>
  <si>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</si>
  <si>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</si>
  <si>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</si>
  <si>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</si>
  <si>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</si>
  <si>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</si>
  <si>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</si>
  <si>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</si>
  <si>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</si>
  <si>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</si>
  <si>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</si>
  <si>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</si>
  <si>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</si>
  <si>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</si>
  <si>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</si>
  <si>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</si>
  <si>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</si>
  <si>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</si>
  <si>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</si>
  <si>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</si>
  <si>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</si>
  <si>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</si>
  <si>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</si>
  <si>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</si>
  <si>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</si>
  <si>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</si>
  <si>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</si>
  <si>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</si>
  <si>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</si>
  <si>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</si>
  <si>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</si>
  <si>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</si>
  <si>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</si>
  <si>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</si>
  <si>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</si>
  <si>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</si>
  <si>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</si>
  <si>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</si>
  <si>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</si>
  <si>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</si>
  <si>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</si>
  <si>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</si>
  <si>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</si>
  <si>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</si>
  <si>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</si>
  <si>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</si>
  <si>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</si>
  <si>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</si>
  <si>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</si>
  <si>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</si>
  <si>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</si>
  <si>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</si>
  <si>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</si>
  <si>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</si>
  <si>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</si>
  <si>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</si>
  <si>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</si>
  <si>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</si>
  <si>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</si>
  <si>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</si>
  <si>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</si>
  <si>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</si>
  <si>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</si>
  <si>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</si>
  <si>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</si>
  <si>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</si>
  <si>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</si>
  <si>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</si>
  <si>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</si>
  <si>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</si>
  <si>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</si>
  <si>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</si>
  <si>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</si>
  <si>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</si>
  <si>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</si>
  <si>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</si>
  <si>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</si>
  <si>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</si>
  <si>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</si>
  <si>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</si>
  <si>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</si>
  <si>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</si>
  <si>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</si>
  <si>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</si>
  <si>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</si>
  <si>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</si>
  <si>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</si>
  <si>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</si>
  <si>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</si>
  <si>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</si>
  <si>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</si>
  <si>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</si>
  <si>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</si>
  <si>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</si>
  <si>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</si>
  <si>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</si>
  <si>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</si>
  <si>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</si>
  <si>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</si>
  <si>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</si>
  <si>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</si>
  <si>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</si>
  <si>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</si>
  <si>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</si>
  <si>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</si>
  <si>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</si>
  <si>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</si>
  <si>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</si>
  <si>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t>Evergreen Recycling, Inc</t>
  </si>
  <si>
    <t>875 Michigan Avenue  Riverside CA 92507</t>
  </si>
  <si>
    <t>Universal Logistics Intermodal Inc.</t>
  </si>
  <si>
    <t>15033 Slover Avenue  Fontana CA 92337</t>
  </si>
  <si>
    <t>Pasadena Park Healthcare &amp; Wellness Center</t>
  </si>
  <si>
    <t>2585 E. Washington Blvd  Pasadena CA 91107</t>
  </si>
  <si>
    <t>Joann Stores Support Center, Inc.</t>
  </si>
  <si>
    <t>2500 N. Plaza Drive  Visalia CA 93291</t>
  </si>
  <si>
    <t>Prime MSO, LLC</t>
  </si>
  <si>
    <t>5353 Balboa Blvd., Suite 300  Encino CA 91316</t>
  </si>
  <si>
    <t>9920 Jefferson Blvd.  Culver City CA 90232</t>
  </si>
  <si>
    <t>2040 E. Mariposa Avenue  El Segundo CA 90245</t>
  </si>
  <si>
    <t>LEGOLAND</t>
  </si>
  <si>
    <t>1 LEGOLAND Drive  Carlsbad CA 92008</t>
  </si>
  <si>
    <t>Foster Farms</t>
  </si>
  <si>
    <t>500 F Street  Turlock CA 95380</t>
  </si>
  <si>
    <t>550 C Street  Turlock CA 95380</t>
  </si>
  <si>
    <t>3600 W. Main Street  Turlock CA 95380</t>
  </si>
  <si>
    <t>Pregis</t>
  </si>
  <si>
    <t>159 N. San Antonio Avenue  Pomona CA 91767</t>
  </si>
  <si>
    <t>Quantumscape Battery Inc.</t>
  </si>
  <si>
    <t>1730 Technology Drive  San Jose CA 95110</t>
  </si>
  <si>
    <t>InvenSense Inc.</t>
  </si>
  <si>
    <t>1745 Technology Drive Suite #200 San Jose CA 95110</t>
  </si>
  <si>
    <t>Rich Products Corporation</t>
  </si>
  <si>
    <t>CARGO Therapeutics, Inc.</t>
  </si>
  <si>
    <t>1 Click Logistics</t>
  </si>
  <si>
    <t>Sensata Technologies</t>
  </si>
  <si>
    <t>Walgreens</t>
  </si>
  <si>
    <t>Surveillance Security Inc. of Unarmed Security Guards</t>
  </si>
  <si>
    <t>LGO Pasadena, LLC</t>
  </si>
  <si>
    <t>Bloomingdale's San Francisco Centre</t>
  </si>
  <si>
    <t>12805 Busch Place  Santa Fe Springs CA 90670</t>
  </si>
  <si>
    <t>835 Industrial Rd #400  San Carlos CA 94070</t>
  </si>
  <si>
    <t>7461 Metro Air Parkway  Sacramento CA 95837</t>
  </si>
  <si>
    <t>6382 Rose Ln.  Carpinteria CA 93013</t>
  </si>
  <si>
    <t>1456 136th Avenue  San Leandro CA 94577</t>
  </si>
  <si>
    <t>852 E Manning Avenue  Reedley CA 93654</t>
  </si>
  <si>
    <t>1801 Westwind Drive  Bakersfield CA 93301</t>
  </si>
  <si>
    <t>11604 Whittier Blvd  Whittier CA 90601</t>
  </si>
  <si>
    <t>617 W 7th Street  Los Angeles CA 90017</t>
  </si>
  <si>
    <t>11301 Wilshire Blvd  Los Angeles CA 90073</t>
  </si>
  <si>
    <t>16111 Plummer Street  North Hills CA 91343</t>
  </si>
  <si>
    <t>340 East Avenue 1  Lancaster CA 93535</t>
  </si>
  <si>
    <t>5426 E. Olympic Blvd  Commerce CA 90022</t>
  </si>
  <si>
    <t>7 W. Foothill Blvd  Arcadia CA 91006</t>
  </si>
  <si>
    <t>1201 E Yorba Linda Blvd  Placentia CA 92870</t>
  </si>
  <si>
    <t>3237 E Chapman Avenue  Orange CA 92869</t>
  </si>
  <si>
    <t>11900 Beach Blvd  Stanton CA 90680</t>
  </si>
  <si>
    <t>1288 Morro Street, Ste #200  San Luis Obispo CA 93401</t>
  </si>
  <si>
    <t>1550 E. Main Street  Santa Maria CA 93454</t>
  </si>
  <si>
    <t>4440 Calle Real  Santa Barbara CA 93110</t>
  </si>
  <si>
    <t>170 W El Monte Way  Dinuba CA 93618</t>
  </si>
  <si>
    <t>5250 Ralston Street  Ventura CA 93003</t>
  </si>
  <si>
    <t>260 S Raymond Avenue  Pasadena CA 91105</t>
  </si>
  <si>
    <t>845 Market Street  San Francisco CA 94103</t>
  </si>
  <si>
    <t>1421 Tara Hill Drive  Pinole CA 94564</t>
  </si>
  <si>
    <t>S&amp;S Activewear</t>
  </si>
  <si>
    <t>4247 South Minnewawa Avenue  Fresno CA 93725</t>
  </si>
  <si>
    <t>Asana, Inc.</t>
  </si>
  <si>
    <t>633 Folsom Street  San Francisco CA 94107</t>
  </si>
  <si>
    <t>St. Anne's Home</t>
  </si>
  <si>
    <t>300 Lake Street  San Francisco CA 94118</t>
  </si>
  <si>
    <t>Okta, Inc.</t>
  </si>
  <si>
    <t>100 First Street, 6th Floor  San Francisco CA 94105</t>
  </si>
  <si>
    <t>Cruise LLC</t>
  </si>
  <si>
    <t>333 Brannan Street  San Francisco CA 94107</t>
  </si>
  <si>
    <t>1201 Bryant Street  San Francisco CA 94103</t>
  </si>
  <si>
    <t>640 Cesar Chavez Street  San Francisco CA 94124</t>
  </si>
  <si>
    <t>175 Sylvester Road  South San Francisco CA 94080</t>
  </si>
  <si>
    <t>840 W California Avenue  Sunnyvale CA 94086</t>
  </si>
  <si>
    <t>3045 Mulvany Place  West Sacramento CA 95691</t>
  </si>
  <si>
    <t>Workday, Inc.</t>
  </si>
  <si>
    <t>6110 Stoneridge Mall Road  Pleasanton CA 94588</t>
  </si>
  <si>
    <t>Planet Express (LAX), LLC</t>
  </si>
  <si>
    <t>380 World Way  Los Angeles CA 90045</t>
  </si>
  <si>
    <t>SDK Logistics, LLC</t>
  </si>
  <si>
    <t>Walmart</t>
  </si>
  <si>
    <t>850 Cherry Avenue  San Bruno CA 94066</t>
  </si>
  <si>
    <t>12121 Scripps Summit Drive, Suite 300  San Diego CA 92131</t>
  </si>
  <si>
    <t>Salesforce, Inc.</t>
  </si>
  <si>
    <t>415 Mission Street  San Francisco CA 94105</t>
  </si>
  <si>
    <t>195 &amp; 198 Champion Court  San Jose CA 95134</t>
  </si>
  <si>
    <t>351 E. Temple Street  Los Angeles CA 90012</t>
  </si>
  <si>
    <t>The Breakfast Club</t>
  </si>
  <si>
    <t>1600 Vine Street  Los Angeles CA 90028</t>
  </si>
  <si>
    <t>Barrel Ten Quarter Circle, Inc.</t>
  </si>
  <si>
    <t>21801 State Highway 120  Escalon CA 95320</t>
  </si>
  <si>
    <t>Bronco Wine Company and its affiliated entities Bivio Transport and Logistics Company, LLC and WC Ag</t>
  </si>
  <si>
    <t>6342 Bystrum Rd  Ceres CA 95307</t>
  </si>
  <si>
    <t>33 Harlow Court  Napa CA 94558</t>
  </si>
  <si>
    <t>Royal Custom Designs LLC</t>
  </si>
  <si>
    <t>13951 Monte Vista Avenue  Chino CA 91710</t>
  </si>
  <si>
    <t>LogRhythm Inc dba Exabeam</t>
  </si>
  <si>
    <t>1051 E Hillsdale Blvd, 4th Floor  Foster City CA 94404</t>
  </si>
  <si>
    <t>San Benito County</t>
  </si>
  <si>
    <t>AMERI-KLEEN dba Sanitation Specialists</t>
  </si>
  <si>
    <t>9351 Fairview Road  Hollister CA 95023</t>
  </si>
  <si>
    <t>15500 Hill Road  Morgan Hill CA 95037</t>
  </si>
  <si>
    <t>Bio-Rad Laboratories, Inc.</t>
  </si>
  <si>
    <t>5731 W. Las Positas Blvd  Pleasanton CA 94588</t>
  </si>
  <si>
    <t>5667 Gibraltar Drive  Pleasanton CA 94588</t>
  </si>
  <si>
    <t>1000 Alfred Nobel Drive  Hercules CA 94547</t>
  </si>
  <si>
    <t>2500 Atlas Avenue  Richmond CA 94806</t>
  </si>
  <si>
    <t>4460 Hacienda Dr., Bldg. A  Pleasanton CA 94588</t>
  </si>
  <si>
    <t>4733 W. Sunset Blvd.  Los Angeles CA 90027</t>
  </si>
  <si>
    <t>74 N. Pasadena Ave.  Pasadena CA 91103</t>
  </si>
  <si>
    <t>75 N. Fair Oaks Ave.  Pasadena CA 91103</t>
  </si>
  <si>
    <t>Sacramento Motorcars LLC dba Nissan of Elk Grove, Mazda of Elk Grove, Quick Lube, and Elk Grove Cust</t>
  </si>
  <si>
    <t>8590 Laguna Grove Drive Nissan of Elk Grove Elk Grove CA 95757</t>
  </si>
  <si>
    <t>8588 Laguna Grove Drive Mazda of Elk Grove Elk Grove CA 95757</t>
  </si>
  <si>
    <t>8588 #B Laguna Grove Drive Quick Lube Elk Grove CA 95757</t>
  </si>
  <si>
    <t>8440 Auto Passage Drive Elk Grove Custom Elk Grove CA 95757</t>
  </si>
  <si>
    <t>Jewish Family Service of San Diego, Inc.</t>
  </si>
  <si>
    <t>4902 Pacific Hwy  San Diego CA 92110</t>
  </si>
  <si>
    <t>Telesign Corporation</t>
  </si>
  <si>
    <t>13274 Fiji Way, Suite 600  Marina Del Rey CA 90292</t>
  </si>
  <si>
    <t>MasterBrand Cabinets LLC</t>
  </si>
  <si>
    <t>3700 S Riverside Ave  Colton CA 92324</t>
  </si>
  <si>
    <t>3750 Torrey View Court Building A &amp; B San Diego CA 92130</t>
  </si>
  <si>
    <t>10020 Pacific Mesa Blvd Building D San Diego CA 92121</t>
  </si>
  <si>
    <t>774 Admiral Callaghan Lane  Vallejo CA 94591</t>
  </si>
  <si>
    <t>Together Logistics LLC</t>
  </si>
  <si>
    <t>4841 W San Fernando Road  Los Angeles CA 90039</t>
  </si>
  <si>
    <t>Flagship Facility Services LLC</t>
  </si>
  <si>
    <t>6422 Commerce Drive  Fremont CA 94555</t>
  </si>
  <si>
    <t>6520 Kaiser Drive  Fremont CA 94555</t>
  </si>
  <si>
    <t>250 Howard Street  San Francisco CA 94105</t>
  </si>
  <si>
    <t>1 Facebook Way Bldg. 20  Menlo Park CA 94025</t>
  </si>
  <si>
    <t>1 Facebook Way Bldg. 21  Menlo Park CA 94025</t>
  </si>
  <si>
    <t>1 Hacker Way Bldg. 10  Menlo Park CA 94025</t>
  </si>
  <si>
    <t>1 Hacker Way Bldg. 12  Menlo Park CA 94025</t>
  </si>
  <si>
    <t>1 Hacker Way Bldg. 15  Menlo Park CA 94025</t>
  </si>
  <si>
    <t>1 Hacker Way Bldg. 18  Menlo Park CA 94025</t>
  </si>
  <si>
    <t>220 Jefferson Drive  Menlo Park CA 94025</t>
  </si>
  <si>
    <t>300 Constitution Dr. Bldg. 23  Menlo Park CA 94025</t>
  </si>
  <si>
    <t>305 Constitution Dr. Bldg. 22  Menlo Park CA 94025</t>
  </si>
  <si>
    <t>1180 Discovery Way Bldg. 5  Sunnyvale CA 94089</t>
  </si>
  <si>
    <t>Panera, LLC</t>
  </si>
  <si>
    <t>1505 Dupont Ave., Suite H  Ontario CA 91761</t>
  </si>
  <si>
    <t>2414 Boeing Way, Suite 200  Stockton CA 95206</t>
  </si>
  <si>
    <t>Ajinomoto Foods North America, Inc.</t>
  </si>
  <si>
    <t>2395 American Ave  Hayward CA 94545</t>
  </si>
  <si>
    <t>F21 OpCo, LLC (F21)</t>
  </si>
  <si>
    <t>110 E 9th Street Suite A500 Los Angeles CA 90079</t>
  </si>
  <si>
    <t>Niagara Bottling, LLC</t>
  </si>
  <si>
    <t>1440 Bridgegate Drive  Diamond Bar CA 91765</t>
  </si>
  <si>
    <t>STAAR Surgical Company</t>
  </si>
  <si>
    <t>1911 Walker Avenue  Monrovia CA 91016</t>
  </si>
  <si>
    <t>27121 Aliso Creek Road, Ste. 100  Aliso Viejo CA 92656</t>
  </si>
  <si>
    <t>Wood Candle Wick Technologies, Inc dba Makesy</t>
  </si>
  <si>
    <t>9750 Irvine Blvd. Suite 106 Irvine CA 92618</t>
  </si>
  <si>
    <t>211 East 17th Street  Costa Mesa CA 92627</t>
  </si>
  <si>
    <t>Smart &amp; Final Logistics, LLC</t>
  </si>
  <si>
    <t>2360 Cottonwood Avenue  Riverside CA 92508</t>
  </si>
  <si>
    <t>Smart &amp; Final Stores, LLC</t>
  </si>
  <si>
    <t>Harvest Meat Company Inc.</t>
  </si>
  <si>
    <t>2900 Ayers Ave  Vernon CA 90058</t>
  </si>
  <si>
    <t>Consolidated Entertainment LLC - Reading Cinemas</t>
  </si>
  <si>
    <t>4665 Clairemont Drive  San Diego CA 92117</t>
  </si>
  <si>
    <t>1022 Bay Marina Dr #106  National City CA 91950</t>
  </si>
  <si>
    <t>Kuehne + Nagel Inc.</t>
  </si>
  <si>
    <t>2525 W 190th St, M/S 22 1kn  Torrance CA 90504</t>
  </si>
  <si>
    <t>Parker Engine Mobile</t>
  </si>
  <si>
    <t>1640 Cummins Drive  Modesto CA 95358</t>
  </si>
  <si>
    <t>Nikola Corporation</t>
  </si>
  <si>
    <t>13443 Freeway Drive  Santa Fe Springs CA 90670</t>
  </si>
  <si>
    <t>12215 Telegraph Road, Suite 210-B  Santa Fe Springs CA 90670</t>
  </si>
  <si>
    <t>Clarion Management, Inc.</t>
  </si>
  <si>
    <t>1675 E. G Street  Ontario CA 91764</t>
  </si>
  <si>
    <t>570 Knollview Court #205  Palmdale CA 93551</t>
  </si>
  <si>
    <t>1935 E. Garvey Avenue North  West Covina CA 91791</t>
  </si>
  <si>
    <t>1725 E. G Street  Ontario CA 91764</t>
  </si>
  <si>
    <t>8965 Research Drive, 1st Floor  Irvine CA 92618</t>
  </si>
  <si>
    <t>1213 W. Street  Corona CA 92882</t>
  </si>
  <si>
    <t>29605 Solana Way  Temecula CA 92591</t>
  </si>
  <si>
    <t>2500 Fair Oaks Blvd  Sacramento CA 95825</t>
  </si>
  <si>
    <t>14450 El Evado Road  Victorville CA 92392</t>
  </si>
  <si>
    <t>1369 N. Willow Ave.  Rialto CA 92376</t>
  </si>
  <si>
    <t>15252 Seneca Road  Victorville CA 92392</t>
  </si>
  <si>
    <t>1203 E. Central Ave  Redlands CA 92373</t>
  </si>
  <si>
    <t>1334 W. Foothill Blvd  Upland CA 91786</t>
  </si>
  <si>
    <t>2001 N. Rancho Road  Colton CA 92324</t>
  </si>
  <si>
    <t>14374 Borego Road  Victorville CA 92392</t>
  </si>
  <si>
    <t>2201 Statham Boulevard  Oxnard CA 93033</t>
  </si>
  <si>
    <t>2267 W. Gaylord Street  Long Beach CA 90813</t>
  </si>
  <si>
    <t>2445 East Guasti Road  Ontario CA 91761</t>
  </si>
  <si>
    <t>1466 El Molino Street  Fontana CA 92335</t>
  </si>
  <si>
    <t>Zendesk, Inc.</t>
  </si>
  <si>
    <t>181 S. Fremont St.  San Francisco CA 94105</t>
  </si>
  <si>
    <t>917 Stillwater Road  West Sacramento CA 95605</t>
  </si>
  <si>
    <t>Corning Optical Communications LLC</t>
  </si>
  <si>
    <t>840 N. McCarthy Blvd  Milpitas CA 95035</t>
  </si>
  <si>
    <t>Neovia Logistics Distribution, LP</t>
  </si>
  <si>
    <t>2289 E. Orangethorpe Avenue  Fullerton CA 92831</t>
  </si>
  <si>
    <t>Burke Williams</t>
  </si>
  <si>
    <t>845 Market Street, Suite 510  San Francisco CA 94103</t>
  </si>
  <si>
    <t>Nucor Buildings Group West LLC</t>
  </si>
  <si>
    <t>1700 E. Louise Ave.  Lathrop CA 95330</t>
  </si>
  <si>
    <t>Technicolor Creative Services US, Inc.</t>
  </si>
  <si>
    <t>8921 Lindblade Street  Culver City CA 90232</t>
  </si>
  <si>
    <t>1701 Eastshore Hwy  Berkeley CA 94710</t>
  </si>
  <si>
    <t>1705 Eastshore Hwy  Berkeley CA 94710</t>
  </si>
  <si>
    <t>1725 Eastshore Hwy  Berkeley CA 94710</t>
  </si>
  <si>
    <t>1750 Second Street  Berkeley CA 94710</t>
  </si>
  <si>
    <t>3100 Dublin Blvd  Dublin CA 94568</t>
  </si>
  <si>
    <t>1800 Harrison Street  Oakland CA 94612</t>
  </si>
  <si>
    <t>1515 Newell Ave  Walnut Creek CA 94596</t>
  </si>
  <si>
    <t>Four Points by Sheraton</t>
  </si>
  <si>
    <t>9750 Airport Blvd  Los Angeles CA 90045</t>
  </si>
  <si>
    <t>12254 Bellflower Blvd  Downey CA 90242</t>
  </si>
  <si>
    <t>25825 Vermont Ave  Harbor City CA 90710</t>
  </si>
  <si>
    <t>1515 N. Vermont Ave  Los Angeles CA 90027</t>
  </si>
  <si>
    <t>75 N. Fair Oaks Ave  Pasadena CA 91103</t>
  </si>
  <si>
    <t>99 S. Oakland Ave  Pasadena CA 91101</t>
  </si>
  <si>
    <t>200 N. Lewis Street  Orange CA 92868</t>
  </si>
  <si>
    <t>2120 Professional Drive  Roseville CA 95661</t>
  </si>
  <si>
    <t>9961 Sierra Ave  Fontana CA 92335</t>
  </si>
  <si>
    <t>8954 Rio San Diego Drive  San Diego CA 92108</t>
  </si>
  <si>
    <t>9455 Clairemont Mesa Blvd  San Diego CA 92123</t>
  </si>
  <si>
    <t>1200 El Camino Real  South San Francisco CA 94080</t>
  </si>
  <si>
    <t>5901 Optical Court  San Jose CA 95138</t>
  </si>
  <si>
    <t>4601 Dale Road  Modesto CA 95356</t>
  </si>
  <si>
    <t>Castle Oaks Golf Club</t>
  </si>
  <si>
    <t>1000 Castle Oaks Drive  Ione CA 95640</t>
  </si>
  <si>
    <t>Benchmark Precision Technologies</t>
  </si>
  <si>
    <t>42701 Christy Street  Fremont CA 94538</t>
  </si>
  <si>
    <t>555 S. Flower Street  Los Angeles CA 90071</t>
  </si>
  <si>
    <t>350 S. Grand Ave.  Los Angeles CA 90071</t>
  </si>
  <si>
    <t>F21 OpCO, LLC dba Forever 21</t>
  </si>
  <si>
    <t>20 City Blvd W Ste R11  Orange CA 92868</t>
  </si>
  <si>
    <t>Genesis Supreme RV, Inc.</t>
  </si>
  <si>
    <t>3411 N. Perris Boulevard  Perris CA 92571</t>
  </si>
  <si>
    <t>3700 Galleria at Tyler Mall  Riverside CA 92503</t>
  </si>
  <si>
    <t>4701 Mills Circle  Ontario CA 91764</t>
  </si>
  <si>
    <t>12482 N Mainstreet  Rancho Cucamonga CA 91739</t>
  </si>
  <si>
    <t>5060 Montclair Plaza Lane, #2121  Montclair CA 91763</t>
  </si>
  <si>
    <t>WB Games Inc. and WarnerMedia Services, LLC</t>
  </si>
  <si>
    <t>2742-2752 State Street  Carlsbad CA 92008</t>
  </si>
  <si>
    <t>2800 N Main Street #201  Santa Ana CA 92705</t>
  </si>
  <si>
    <t>2326 Lakewood Center Mall  Lakewood CA 90712</t>
  </si>
  <si>
    <t>200 Los Cerritos Mall  Cerritos CA 90703</t>
  </si>
  <si>
    <t>Charter Communications</t>
  </si>
  <si>
    <t>Bristol Myers Squibb</t>
  </si>
  <si>
    <t>Google</t>
  </si>
  <si>
    <t>Autodesk, Inc.</t>
  </si>
  <si>
    <t>CBRE, Inc.</t>
  </si>
  <si>
    <t>AMERI-KLEEN DBA SANITATION SPECIALISTS</t>
  </si>
  <si>
    <t>GEP Administrative Services, LLC dba Entertainment Partners</t>
  </si>
  <si>
    <t>14221 Covello Street  Van Nuys CA 91405</t>
  </si>
  <si>
    <t>430 N. McKinley Avenue  Los Angeles CA 90059</t>
  </si>
  <si>
    <t>1430 N. McKinley Avenue  Los Angeles CA 90059</t>
  </si>
  <si>
    <t>700 Bay Rd  Redwood City CA 94063</t>
  </si>
  <si>
    <t>19510 Jamboree Road  Irvine CA 92612</t>
  </si>
  <si>
    <t>19520 Jamboree Road  Irvine CA 92612</t>
  </si>
  <si>
    <t>3520 S. Cactus Avenue  Bloomington CA 92316</t>
  </si>
  <si>
    <t>One Market Street  San Francisco CA 94105</t>
  </si>
  <si>
    <t>2244 Walnut Grove Avenue  Rosemead CA 91770</t>
  </si>
  <si>
    <t>501 S. Marengo Avenue  Alhambra CA 91803</t>
  </si>
  <si>
    <t>1325 S. Grand Avenue  Santa Ana CA 92705</t>
  </si>
  <si>
    <t>23 Parker  Irvine CA 92618</t>
  </si>
  <si>
    <t>21800 Hawthorne Blvd., Ste. 100  Torrance CA 90503</t>
  </si>
  <si>
    <t>1051 Pacific Ave  Oxnard CA 93030</t>
  </si>
  <si>
    <t>2950 N. Hollywood Way  Burbank CA 91505</t>
  </si>
  <si>
    <t>300 East Magnolia Blvd., #300  Burbank CA 91502</t>
  </si>
  <si>
    <t>PT Solutions</t>
  </si>
  <si>
    <t>1073 E Shaw Avenue  Fresno CA 93710</t>
  </si>
  <si>
    <t>7560 Elk Grove Blvd Suite 130  Elk Grove CA 95757</t>
  </si>
  <si>
    <t>1640 W Yosemite Ave STE 1  Manteca CA 95337</t>
  </si>
  <si>
    <t>2488 N California Street  Stockton CA 95204</t>
  </si>
  <si>
    <t>6385 Pacific Avenue  Stockton CA 95207</t>
  </si>
  <si>
    <t>534 E Pine St STE A  Stockton CA 95204</t>
  </si>
  <si>
    <t>10200 Trinity Pkwy # 205  Stockton CA 95219</t>
  </si>
  <si>
    <t>Wells Fargo</t>
  </si>
  <si>
    <t>333 Market Street  San Francisco CA 94105</t>
  </si>
  <si>
    <t>Primo Brands, Inc.</t>
  </si>
  <si>
    <t>7432 Las Positas Road  Livermore CA 94551</t>
  </si>
  <si>
    <t>Central Garden &amp; Pet</t>
  </si>
  <si>
    <t>2775 Giant Road  Richmon CA 94806</t>
  </si>
  <si>
    <t>Laboratory Corporation of America Holdings</t>
  </si>
  <si>
    <t>2440 Sepulveda Blvd.  Los Angeles CA 90064</t>
  </si>
  <si>
    <t>485 Vista Way  Milpitas CA 95035</t>
  </si>
  <si>
    <t>Maersk Warehousing &amp; Distribution Services USA LLC</t>
  </si>
  <si>
    <t>4323 Indian Ave.  Perris CA 92571</t>
  </si>
  <si>
    <t>Catholic Charities, Diocese of San Diego</t>
  </si>
  <si>
    <t>1093 Airport Road  Imperial CA 92251</t>
  </si>
  <si>
    <t>631 Camino Del Rio South  San Diego CA 92108</t>
  </si>
  <si>
    <t>LUKE Holdings, Inc.</t>
  </si>
  <si>
    <t>7681 Pogo Road  San Diego CA 92154</t>
  </si>
  <si>
    <t>Stockton Recycling, Inc.</t>
  </si>
  <si>
    <t>2435 E Weber Ave  Stockton CA 95205</t>
  </si>
  <si>
    <t>1566 E. Washington Blvd.  Los Angeles CA 90021</t>
  </si>
  <si>
    <t>Centerra, a subsidiary of Constellis, LLC</t>
  </si>
  <si>
    <t>221 West Aten Street  Imperial CA 92251</t>
  </si>
  <si>
    <t>7684 Pogo Row  San Diego CA 92154</t>
  </si>
  <si>
    <t>Tehama County</t>
  </si>
  <si>
    <t>Bell-Carter Foods, LLC</t>
  </si>
  <si>
    <t>1012 Second Street  Corning CA 96021</t>
  </si>
  <si>
    <t>711 Fig Lane  Corning CA 96021</t>
  </si>
  <si>
    <t>981 Fig Lane  Corning CA 96021</t>
  </si>
  <si>
    <t>910 Second Street  Corning CA 96021</t>
  </si>
  <si>
    <t>Hearthside Food Solutions</t>
  </si>
  <si>
    <t>1153 Ocean Circle  Anaheim CA 92806</t>
  </si>
  <si>
    <t>Robert Kaufman Co., Inc.</t>
  </si>
  <si>
    <t>109 West 134th Street  Los Angeles CA 90061</t>
  </si>
  <si>
    <t>Gate Gourmet, Inc.</t>
  </si>
  <si>
    <t>645 West Field Road  San Francisco CA 94128</t>
  </si>
  <si>
    <t>Penney OpCo LLC dba JCPenney</t>
  </si>
  <si>
    <t>1122 El Camino Real  San Bruno CA 94066</t>
  </si>
  <si>
    <t>17405 Heacock Street  Moreno Valley CA 92551</t>
  </si>
  <si>
    <t>onsemi</t>
  </si>
  <si>
    <t>150 Rose Orchard Way  San Jose CA 95134</t>
  </si>
  <si>
    <t>129 West 132nd Street  Los Angeles CA 90061</t>
  </si>
  <si>
    <t>135 West 132nd Street  Los Angeles CA 90061</t>
  </si>
  <si>
    <t>6601 Overlake Place  Newark CA 94560</t>
  </si>
  <si>
    <t>225 North Guild Street  Lodi CA 95240</t>
  </si>
  <si>
    <t>121 North Guild Avenue  Lodi CA 95240</t>
  </si>
  <si>
    <t>850 Thurman Street  Lodi CA 95240</t>
  </si>
  <si>
    <t>1330 Thurman Street  Lodi CA 95240</t>
  </si>
  <si>
    <t>Sutro Biopharma, Inc.</t>
  </si>
  <si>
    <t>111 Oyster Point Blvd  South San Francisco CA 94080</t>
  </si>
  <si>
    <t>870 Industrial Road  San Carlos CA 94070</t>
  </si>
  <si>
    <t>904 Caribbean Drive  Sunnyvale CA 94089</t>
  </si>
  <si>
    <t>1339 Moffet Park Drive  Sunnyvale CA 94089</t>
  </si>
  <si>
    <t>1325-1327 Chesapeake Terrace  Sunnyvale CA 94089</t>
  </si>
  <si>
    <t>1315 Chesapeake Terrace  Sunnyvale CA 94089</t>
  </si>
  <si>
    <t>914-918 Caribbean Drive  Sunnyvale CA 94089</t>
  </si>
  <si>
    <t>2550 Great America Way  Santa Clara CA 95054</t>
  </si>
  <si>
    <t>4480 Kester Avenue  Sherman Oaks CA 91403</t>
  </si>
  <si>
    <t>140 Promenade Way  Thousand Oaks CA 91362</t>
  </si>
  <si>
    <t>Southern California Edison Company</t>
  </si>
  <si>
    <t>1 Innovation Way  Pomona CA 91768</t>
  </si>
  <si>
    <t>Mattel, Inc.</t>
  </si>
  <si>
    <t>333 Continental Blvd  El Segundo CA 90245</t>
  </si>
  <si>
    <t>Atara Biotherapeutics</t>
  </si>
  <si>
    <t>1280 Rancho Conejo Blvd.  Newbury Park CA 91320</t>
  </si>
  <si>
    <t>6201 Sepulveda Blvd  Van Nuys CA 91411</t>
  </si>
  <si>
    <t>Collins Aerospace</t>
  </si>
  <si>
    <t>2202 E El Segundo Blvd  El Segundo CA 90245</t>
  </si>
  <si>
    <t>850 Lagoon Dr  Chula Vista CA 91910</t>
  </si>
  <si>
    <t>Southeast Service Corporation dba SSC Services for Education</t>
  </si>
  <si>
    <t>2100 Mount Diablo Scenic Blvd  Danville CA 94506</t>
  </si>
  <si>
    <t>Rem Optical Company, Inc., dba De Rigo Rem</t>
  </si>
  <si>
    <t>10941 La Tuna Canyon Road  Sun Valley CA 91352</t>
  </si>
  <si>
    <t>Niantic, Inc.</t>
  </si>
  <si>
    <t>1 Ferry Building, #200  San Francisco CA 94111</t>
  </si>
  <si>
    <t>Duke's Malibu, LLC</t>
  </si>
  <si>
    <t>21150 Pacific Coast Highway  Malibu CA 90265</t>
  </si>
  <si>
    <t>330 Industrial Way  Taft CA 93268</t>
  </si>
  <si>
    <t>Hyatt Corporation dba Waterfront Hotel</t>
  </si>
  <si>
    <t>10 Washington Street  Oakland CA 94607</t>
  </si>
  <si>
    <t>San Jose Distribution Services Inc</t>
  </si>
  <si>
    <t>2055 S 7th St Suite A  San Jose CA 95112</t>
  </si>
  <si>
    <t>200 Maritime Academy Drive  Vallejo CA 94590</t>
  </si>
  <si>
    <t>American Academy of Dramatic Arts</t>
  </si>
  <si>
    <t>1336 North La Brea Ave.  Los Angeles CA 90028</t>
  </si>
  <si>
    <t>4550 York Blvd Bldg. C  Los Angeles CA 90041</t>
  </si>
  <si>
    <t>1522 North Newhope Street  Santa Ana CA 92703</t>
  </si>
  <si>
    <t>First Student</t>
  </si>
  <si>
    <t>5006 Calle Raphael  Palm Springs CA 92264</t>
  </si>
  <si>
    <t>1363 Citrus Avenue  Riverside CA 92507</t>
  </si>
  <si>
    <t>SK hynix America Inc. (SKHYA)</t>
  </si>
  <si>
    <t>10951 White Rock Road  Rancho Cordova CA 95670</t>
  </si>
  <si>
    <t>3101 N First Street  San Jose CA 95134</t>
  </si>
  <si>
    <t>221 E. Alondra Boulevard  Gardena CA 90248</t>
  </si>
  <si>
    <t>Milgard Manufacturing LLC</t>
  </si>
  <si>
    <t>355 E Easy St.  Simi Valley CA 93065</t>
  </si>
  <si>
    <t>Nkarta, Inc.</t>
  </si>
  <si>
    <t>1150 Veterans Blvd.  South San Francisco CA 94080</t>
  </si>
  <si>
    <t>6000 Shoreline Court  South San Francisco CA 94080</t>
  </si>
  <si>
    <t>Roche Molecular Systems, Inc.</t>
  </si>
  <si>
    <t>2881 Scott Blvd  Santa Clara CA 95050</t>
  </si>
  <si>
    <t>10210 Campus Point Drive #350  San Diego CA 92121</t>
  </si>
  <si>
    <t>Brinker International Payroll Company, L.P.</t>
  </si>
  <si>
    <t>Redemption Restaurants, LLC dba Chick-fil-A</t>
  </si>
  <si>
    <t>732 W Rancho Vista Blvd  Palmdale CA 93551</t>
  </si>
  <si>
    <t>Classic Beverage of Southern California, LLC</t>
  </si>
  <si>
    <t>120 Puente Avenue  La Puente CA 91746</t>
  </si>
  <si>
    <t>Memorial Care</t>
  </si>
  <si>
    <t>2801 Atlantic Avenue  Long Beach CA 90806</t>
  </si>
  <si>
    <t>Transdev Services, Inc.</t>
  </si>
  <si>
    <t>3333 S. Market Street  Redding CA 96003</t>
  </si>
  <si>
    <t>Sutter County</t>
  </si>
  <si>
    <t>Ardent Mills, LLC</t>
  </si>
  <si>
    <t>1200 Putnam Avenue  Yuba City CA 95991</t>
  </si>
  <si>
    <t>Block, Inc.</t>
  </si>
  <si>
    <t>1955 Broadway, Suite 600  Oakland CA 94612</t>
  </si>
  <si>
    <t>Cali Nail Market, Inc.</t>
  </si>
  <si>
    <t>638 W. Southern Avenue  Orange CA 92865</t>
  </si>
  <si>
    <t>10517 Garden Grove Blvd.  Garden Grove CA 92840</t>
  </si>
  <si>
    <t>Crothall Healthcare</t>
  </si>
  <si>
    <t>800 S. Main Street  Corona CA 92882</t>
  </si>
  <si>
    <t>ST. Distributing Co., LLC</t>
  </si>
  <si>
    <t>7485 Flores Street  Downey CA 90242</t>
  </si>
  <si>
    <t>505. S. Pacific Street  San Marcos CA 92078</t>
  </si>
  <si>
    <t>7825 Trade Street, Ste. 100  San Diego CA 92121</t>
  </si>
  <si>
    <t>All For Kids</t>
  </si>
  <si>
    <t>515 Cabrillo Park Drive, Suite 100  Santa Ana CA 92701</t>
  </si>
  <si>
    <t>Chevron</t>
  </si>
  <si>
    <t>5001 Executive Parkway, Suite 200  San Ramon CA 94583</t>
  </si>
  <si>
    <t>ImmPact Bio USA Inc., a subsidiary of Lyell Immunopharma Inc.</t>
  </si>
  <si>
    <t>8501 Fallbrook Ave #200  Canoga Park CA 91304</t>
  </si>
  <si>
    <t>129 W 132nd St  Los Angeles CA 90061</t>
  </si>
  <si>
    <t>135 W 132nd St  Los Angeles CA 90061</t>
  </si>
  <si>
    <t>6100 Topanga Canyon Blvd.  Woodland Hills CA 91367</t>
  </si>
  <si>
    <t>McDonald's Restaurant of California, Inc.</t>
  </si>
  <si>
    <t>5645 E. Kings Canyon Road  Fresno CA 93727</t>
  </si>
  <si>
    <t>FEAM Aero</t>
  </si>
  <si>
    <t>1490 S. Vineyard Ave. Ste D  Ontario CA 91761</t>
  </si>
  <si>
    <t>620 Sutter Street Apt 207  San Francisco CA 94102</t>
  </si>
  <si>
    <t>McDoanld's Restaurant of California, Inc.</t>
  </si>
  <si>
    <t>2712 Santa Monica Blvd.  Santa Monica CA 90404</t>
  </si>
  <si>
    <t>ActivCare Living, LLC</t>
  </si>
  <si>
    <t>2629 E Chapman Ave  Orange CA 92869</t>
  </si>
  <si>
    <t>Pfizer</t>
  </si>
  <si>
    <t>10555 Science Center Dr.  San Diego CA 92121</t>
  </si>
  <si>
    <t>Federal Express Corporation</t>
  </si>
  <si>
    <t>1600 63rd Street  Emeryville CA 94608</t>
  </si>
  <si>
    <t>8455 Pardee Drive  Oakland CA 94621</t>
  </si>
  <si>
    <t>Goodwill of the San Francisco Bay</t>
  </si>
  <si>
    <t>1301 30th Ave  Oakland CA 94601</t>
  </si>
  <si>
    <t>750 Post Street  San Francisco CA 94109</t>
  </si>
  <si>
    <t>McDonald's Restaurants of California, Inc.</t>
  </si>
  <si>
    <t>4480 E. Olympic Blvd.  Los Angeles CA 90065</t>
  </si>
  <si>
    <t>Technoprobe America, Inc.</t>
  </si>
  <si>
    <t>7911 Haskell Avenue  Van Nuys CA 91406</t>
  </si>
  <si>
    <t>Air Products and Chemicals, Inc.</t>
  </si>
  <si>
    <t>14700 Downey Ave.  Paramount CA 90723</t>
  </si>
  <si>
    <t>Del Norte County</t>
  </si>
  <si>
    <t>United States Cellular Corporation</t>
  </si>
  <si>
    <t>1180 9th Street  Crescent City CA 95531</t>
  </si>
  <si>
    <t>Humboldt County</t>
  </si>
  <si>
    <t>1440 Broadway  Eureka CA 95501</t>
  </si>
  <si>
    <t>1232 Airport Blvd.  Ukiah CA 95482</t>
  </si>
  <si>
    <t>Right At School, LLC</t>
  </si>
  <si>
    <t>12044 S Eucalyptus Ave  Hawthorne CA 90250</t>
  </si>
  <si>
    <t>4091 W 139th St  Hawthorne CA 90250</t>
  </si>
  <si>
    <t>3620 W El Segundo Blvd  Hawthorne CA 90250</t>
  </si>
  <si>
    <t>4617 W 136Th St  Hawthorne CA 90250</t>
  </si>
  <si>
    <t>4339 W 129Th St  Hawthorne CA 90250</t>
  </si>
  <si>
    <t>11838 S York Ave  Hawthorne CA 90250</t>
  </si>
  <si>
    <t>13435 S Yukon Ave  Hawthorne CA 90250</t>
  </si>
  <si>
    <r>
      <t xml:space="preserve">WARN REPORT - 01/01/2023 - 04/14/2025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</si>
  <si>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Pacific Biosciences of California, Inc.</t>
  </si>
  <si>
    <t>1305 O'Brien Drive  Menlo Park CA 94025</t>
  </si>
  <si>
    <t>253 Martens Avenue Amy Imai Elementary Mountain View CA 94040</t>
  </si>
  <si>
    <t>1400 Montecito Avenue Mountain View Whisman District Mountain View CA 94043</t>
  </si>
  <si>
    <t>525 Hans Avenue Benjamin Bubb Elementary Mountain View CA 94040</t>
  </si>
  <si>
    <t>115 West Dana Street Edith Landels Elementary Mountain View CA 94041</t>
  </si>
  <si>
    <t>505 Escuela Avenue Gabriela Mistral Elementary Mountain View CA 94040</t>
  </si>
  <si>
    <t>220 North Whisman Road Jose Antonio Vargas Elementary Mountain View CA 94043</t>
  </si>
  <si>
    <t>500 Toft Street Mariano Castro Elementary Mountain View CA 94041</t>
  </si>
  <si>
    <t>460 Thompson Avenue Monta Loma Elementary Mountain View CA 94043</t>
  </si>
  <si>
    <t>750 San Pierre Way Stevenson Elementary Mountain View CA 94043</t>
  </si>
  <si>
    <t>1625 San Luis Avenue Theuerkauf Elementary Mountain View CA 94043</t>
  </si>
  <si>
    <t>1331 E. Calaveras Blvd Milpitas Unified School District Milpitas CA 95035</t>
  </si>
  <si>
    <t>250 Roswell Drive Alexander Rose Elementary Milpitas CA 95035</t>
  </si>
  <si>
    <t>140 N Abbott Avenue Anthony Spangler Elementary Milpitas CA 95035</t>
  </si>
  <si>
    <t>275 Redwood Avenue Curtner Elementary Milpitas CA 95035</t>
  </si>
  <si>
    <t>2025 Yellowstone Avenue John Sinnott Elementary Milpitas CA 95035</t>
  </si>
  <si>
    <t>345 Boulder Street Joseph Weller Elementary Milpitas CA 95035</t>
  </si>
  <si>
    <t>1750 McCandless Drive Mabel Mattos Elementary Milpitas CA 95035</t>
  </si>
  <si>
    <t>1505 Escuela Parkway Marshall Pomeroy Elementary Milpitas CA 95035</t>
  </si>
  <si>
    <t>1585 Fallen Leaf Drive Pearl Zanker Elementary Milpitas CA 95035</t>
  </si>
  <si>
    <t>1300 Edsel Drive Robert Randall Elementary Milpitas CA 95035</t>
  </si>
  <si>
    <t>400 Fanyon Street William Burnett Elementary Milpitas CA 95035</t>
  </si>
  <si>
    <t>3301 Cherry Hills Ct.  Fairfield CA 94534</t>
  </si>
  <si>
    <t>1600 Kidder Avenue  Fairfield CA 94533</t>
  </si>
  <si>
    <t>2490 Hilborn Road  Fairfield CA 94534</t>
  </si>
  <si>
    <t>4770 Canyon Hills Drive  Fairfield CA 94534</t>
  </si>
  <si>
    <t>400 Whispering Bay Lane  Suisun City CA 94585</t>
  </si>
  <si>
    <t>301 East Alaska Avenue  Fairfield CA 94533</t>
  </si>
  <si>
    <t>830 First Street  Fairfield CA 94533</t>
  </si>
  <si>
    <t>975 Blossom Avenue  Fairfield CA 94533</t>
  </si>
  <si>
    <t>1350 Gold Hill Road  Fairfield CA 94534</t>
  </si>
  <si>
    <t>2001 Winston Drive  Fairfield CA 94534</t>
  </si>
  <si>
    <t>100 Civic Center Drive  Fairfield CA 94533</t>
  </si>
  <si>
    <t>570 Vintage Valley Drive  Fairfield CA 94534</t>
  </si>
  <si>
    <t>700 Oakbrook Drive  Fairfield CA 94534</t>
  </si>
  <si>
    <t>230 Atlantic Avenue  Fairfield CA 94533</t>
  </si>
  <si>
    <t>1901 Woolner Avenue  Fairfield CA 94533</t>
  </si>
  <si>
    <t>LEGOLAND California Resort</t>
  </si>
  <si>
    <t>Confluent Medical Technologies, Inc.</t>
  </si>
  <si>
    <t>47533 Westinghouse Drive  Fremont CA 94539</t>
  </si>
  <si>
    <t>Davis Street Community Center</t>
  </si>
  <si>
    <t>14300 Bancroft Avenue  San Leandro CA 94578</t>
  </si>
  <si>
    <t>TC&amp;Js Enterprises, franchise operator of Chick-fil-A</t>
  </si>
  <si>
    <t>15600 Whittier Blvd.  Whittier CA 90603</t>
  </si>
  <si>
    <t>1801 W Imperial Hwy  La Habra CA 90631</t>
  </si>
  <si>
    <t>Stem, Inc.</t>
  </si>
  <si>
    <t>4 Embarcadero Center  San Francisco CA 94111</t>
  </si>
  <si>
    <r>
      <t xml:space="preserve">WARN REPORT - </t>
    </r>
    <r>
      <rPr>
        <b/>
        <sz val="12"/>
        <rFont val="Calibri"/>
        <family val="2"/>
        <scheme val="minor"/>
      </rPr>
      <t>07/01/24 to 04/14/2025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I1161.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</si>
</sst>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161" totalsRowShown="0" headerRowDxfId="27" dataDxfId="26">
  <autoFilter ref="A2:I116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74.140625" defaultRowHeight="15" x14ac:dyDescent="0.25"/>
  <cols>
    <col min="1" max="1" width="74" style="3" bestFit="1" customWidth="1"/>
  </cols>
  <sheetData>
    <row r="1" spans="1:1" ht="135" x14ac:dyDescent="0.25">
      <c r="A1" s="10" t="s">
        <v>37</v>
      </c>
    </row>
    <row r="2" spans="1:1" ht="21" x14ac:dyDescent="0.35">
      <c r="A2" s="12" t="s">
        <v>27</v>
      </c>
    </row>
    <row r="3" spans="1:1" x14ac:dyDescent="0.25">
      <c r="A3" s="13" t="s">
        <v>25</v>
      </c>
    </row>
    <row r="4" spans="1:1" x14ac:dyDescent="0.25">
      <c r="A4" s="13" t="s">
        <v>26</v>
      </c>
    </row>
    <row r="5" spans="1:1" x14ac:dyDescent="0.25">
      <c r="A5" s="13" t="s">
        <v>32</v>
      </c>
    </row>
    <row r="6" spans="1:1" x14ac:dyDescent="0.2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28</v>
      </c>
    </row>
    <row r="2" spans="1:2" x14ac:dyDescent="0.25">
      <c r="A2" s="14" t="s">
        <v>20</v>
      </c>
      <c r="B2" s="15" t="s">
        <v>19</v>
      </c>
    </row>
    <row r="3" spans="1:2" x14ac:dyDescent="0.25">
      <c r="A3" s="2" t="s">
        <v>24</v>
      </c>
      <c r="B3" s="11">
        <f>SUM('Detailed WARN Report '!G:G)</f>
        <v>61088</v>
      </c>
    </row>
    <row r="4" spans="1:2" x14ac:dyDescent="0.25">
      <c r="A4" s="2" t="s">
        <v>13</v>
      </c>
      <c r="B4" s="11">
        <f>COUNTIF('Detailed WARN Report '!F:F,"Layoff Permanent")</f>
        <v>641</v>
      </c>
    </row>
    <row r="5" spans="1:2" x14ac:dyDescent="0.25">
      <c r="A5" s="2" t="s">
        <v>14</v>
      </c>
      <c r="B5" s="11">
        <f>COUNTIF('Detailed WARN Report '!F:F,"Layoff Temporary")</f>
        <v>19</v>
      </c>
    </row>
    <row r="6" spans="1:2" x14ac:dyDescent="0.25">
      <c r="A6" s="2" t="s">
        <v>15</v>
      </c>
      <c r="B6" s="11">
        <v>1</v>
      </c>
    </row>
    <row r="7" spans="1:2" x14ac:dyDescent="0.25">
      <c r="A7" s="2" t="s">
        <v>16</v>
      </c>
      <c r="B7" s="11">
        <f>COUNTIF('Detailed WARN Report '!F:F,"Closure Permanent")</f>
        <v>481</v>
      </c>
    </row>
    <row r="8" spans="1:2" x14ac:dyDescent="0.25">
      <c r="A8" s="2" t="s">
        <v>17</v>
      </c>
      <c r="B8" s="11">
        <f>COUNTIF('Detailed WARN Report '!F:F,"Closure Temporary")</f>
        <v>16</v>
      </c>
    </row>
    <row r="9" spans="1:2" x14ac:dyDescent="0.2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161"/>
  <sheetViews>
    <sheetView zoomScaleNormal="100" workbookViewId="0"/>
  </sheetViews>
  <sheetFormatPr defaultColWidth="128.28515625" defaultRowHeight="15" x14ac:dyDescent="0.25"/>
  <cols>
    <col min="1" max="1" width="30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76" style="10" bestFit="1" customWidth="1"/>
    <col min="6" max="6" width="22.28515625" style="3" bestFit="1" customWidth="1"/>
    <col min="7" max="7" width="9.85546875" style="3" bestFit="1" customWidth="1"/>
    <col min="8" max="8" width="61.140625" style="3" bestFit="1" customWidth="1"/>
    <col min="9" max="9" width="51.85546875" style="3" bestFit="1" customWidth="1"/>
  </cols>
  <sheetData>
    <row r="1" spans="1:9" ht="102" x14ac:dyDescent="0.25">
      <c r="A1" s="16" t="s">
        <v>1593</v>
      </c>
      <c r="E1" s="3"/>
    </row>
    <row r="2" spans="1:9" ht="24.75" x14ac:dyDescent="0.2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2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2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2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2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2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2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2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2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2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2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2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2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2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2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2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2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2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2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2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2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2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2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2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2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2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x14ac:dyDescent="0.2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2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2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2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2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2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2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2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2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2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2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2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2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2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2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2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2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2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2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2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2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2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2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2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2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2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2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2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2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2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2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x14ac:dyDescent="0.2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2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2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2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2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2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2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2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2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2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2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2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2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2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2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2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2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2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2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2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2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2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2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2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2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2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2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2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2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2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2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2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2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2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2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2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2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2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2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2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2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2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2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2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2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2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2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2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2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2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2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2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2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2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2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2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2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2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2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2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2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2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2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2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2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2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2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2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2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2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2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2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2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2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2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2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2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x14ac:dyDescent="0.2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2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2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2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2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2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2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2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x14ac:dyDescent="0.2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2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2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2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x14ac:dyDescent="0.2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2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2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x14ac:dyDescent="0.2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2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2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2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2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2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2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2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2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2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2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2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2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2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2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2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2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2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2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2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2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2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2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2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2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2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2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2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2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2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2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2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2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2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2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2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2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2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2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2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2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2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2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2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2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2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2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2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2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2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2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2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2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2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2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2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2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2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2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2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2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2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x14ac:dyDescent="0.2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x14ac:dyDescent="0.2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x14ac:dyDescent="0.2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x14ac:dyDescent="0.2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2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2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2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2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2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2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2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2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2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2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2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2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2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2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2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2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2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2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2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2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2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2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2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2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2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2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2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2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2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2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2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2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2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2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2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2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2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x14ac:dyDescent="0.2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2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2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2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2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2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x14ac:dyDescent="0.2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2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2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2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2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2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2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2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2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2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2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2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2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2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2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2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2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2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x14ac:dyDescent="0.2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2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2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2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2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2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2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2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2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2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2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2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2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2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2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2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2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x14ac:dyDescent="0.2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2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2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2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2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2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2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2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2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2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2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2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2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2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2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2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2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2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2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2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2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2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2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2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2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2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2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2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2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2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2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2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x14ac:dyDescent="0.2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2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2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2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2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2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2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2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2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2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2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2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2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2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2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2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2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2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2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2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2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2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2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2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2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2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2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2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2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2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2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2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2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2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2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2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2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2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2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2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2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2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2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2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2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2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2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2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2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2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2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2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2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2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2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2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2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2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2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2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2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2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2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2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2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2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2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x14ac:dyDescent="0.2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2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2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2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2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2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2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2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2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2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2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2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2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2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2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2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2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2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2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2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2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2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2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2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2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2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2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2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2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2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2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2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2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x14ac:dyDescent="0.2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2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2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2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2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2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2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2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2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2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2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2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2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2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2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2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2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2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x14ac:dyDescent="0.2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2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2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2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2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2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2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2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2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2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x14ac:dyDescent="0.2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2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x14ac:dyDescent="0.2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x14ac:dyDescent="0.2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2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2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x14ac:dyDescent="0.2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x14ac:dyDescent="0.2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x14ac:dyDescent="0.2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x14ac:dyDescent="0.2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x14ac:dyDescent="0.2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x14ac:dyDescent="0.2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x14ac:dyDescent="0.2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x14ac:dyDescent="0.2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x14ac:dyDescent="0.2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x14ac:dyDescent="0.2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x14ac:dyDescent="0.2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x14ac:dyDescent="0.2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x14ac:dyDescent="0.2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x14ac:dyDescent="0.2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x14ac:dyDescent="0.2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x14ac:dyDescent="0.2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x14ac:dyDescent="0.2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x14ac:dyDescent="0.2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x14ac:dyDescent="0.2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x14ac:dyDescent="0.2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x14ac:dyDescent="0.2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x14ac:dyDescent="0.2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x14ac:dyDescent="0.2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x14ac:dyDescent="0.2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x14ac:dyDescent="0.2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x14ac:dyDescent="0.2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x14ac:dyDescent="0.2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x14ac:dyDescent="0.2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x14ac:dyDescent="0.2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x14ac:dyDescent="0.2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x14ac:dyDescent="0.2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x14ac:dyDescent="0.2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x14ac:dyDescent="0.2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x14ac:dyDescent="0.2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x14ac:dyDescent="0.2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x14ac:dyDescent="0.2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x14ac:dyDescent="0.2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x14ac:dyDescent="0.2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x14ac:dyDescent="0.2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x14ac:dyDescent="0.2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x14ac:dyDescent="0.2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x14ac:dyDescent="0.2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x14ac:dyDescent="0.2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x14ac:dyDescent="0.2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x14ac:dyDescent="0.2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x14ac:dyDescent="0.2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x14ac:dyDescent="0.2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x14ac:dyDescent="0.2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x14ac:dyDescent="0.2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x14ac:dyDescent="0.2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x14ac:dyDescent="0.2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x14ac:dyDescent="0.2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x14ac:dyDescent="0.2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x14ac:dyDescent="0.2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x14ac:dyDescent="0.2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x14ac:dyDescent="0.2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x14ac:dyDescent="0.2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x14ac:dyDescent="0.2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x14ac:dyDescent="0.2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x14ac:dyDescent="0.2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x14ac:dyDescent="0.2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x14ac:dyDescent="0.2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x14ac:dyDescent="0.2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x14ac:dyDescent="0.2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x14ac:dyDescent="0.2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x14ac:dyDescent="0.2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x14ac:dyDescent="0.2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x14ac:dyDescent="0.2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x14ac:dyDescent="0.2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x14ac:dyDescent="0.2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x14ac:dyDescent="0.2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x14ac:dyDescent="0.2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x14ac:dyDescent="0.2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x14ac:dyDescent="0.2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x14ac:dyDescent="0.2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x14ac:dyDescent="0.2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x14ac:dyDescent="0.2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x14ac:dyDescent="0.2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x14ac:dyDescent="0.2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x14ac:dyDescent="0.2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x14ac:dyDescent="0.2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x14ac:dyDescent="0.2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x14ac:dyDescent="0.2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x14ac:dyDescent="0.2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x14ac:dyDescent="0.2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x14ac:dyDescent="0.2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x14ac:dyDescent="0.2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x14ac:dyDescent="0.2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x14ac:dyDescent="0.2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x14ac:dyDescent="0.2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x14ac:dyDescent="0.2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x14ac:dyDescent="0.2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x14ac:dyDescent="0.2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x14ac:dyDescent="0.2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x14ac:dyDescent="0.2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x14ac:dyDescent="0.2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x14ac:dyDescent="0.2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x14ac:dyDescent="0.2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x14ac:dyDescent="0.2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x14ac:dyDescent="0.2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x14ac:dyDescent="0.2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x14ac:dyDescent="0.2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x14ac:dyDescent="0.2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x14ac:dyDescent="0.2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x14ac:dyDescent="0.2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x14ac:dyDescent="0.2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x14ac:dyDescent="0.2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x14ac:dyDescent="0.2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x14ac:dyDescent="0.2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x14ac:dyDescent="0.2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x14ac:dyDescent="0.2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x14ac:dyDescent="0.2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x14ac:dyDescent="0.2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x14ac:dyDescent="0.2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x14ac:dyDescent="0.2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x14ac:dyDescent="0.2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x14ac:dyDescent="0.2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x14ac:dyDescent="0.2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x14ac:dyDescent="0.2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x14ac:dyDescent="0.2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x14ac:dyDescent="0.2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x14ac:dyDescent="0.2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x14ac:dyDescent="0.2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x14ac:dyDescent="0.2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x14ac:dyDescent="0.2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x14ac:dyDescent="0.2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x14ac:dyDescent="0.2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x14ac:dyDescent="0.2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x14ac:dyDescent="0.2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x14ac:dyDescent="0.2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x14ac:dyDescent="0.2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x14ac:dyDescent="0.2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2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2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2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2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2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2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2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2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2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2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2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2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2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x14ac:dyDescent="0.2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2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2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2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2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2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2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2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2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2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2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2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2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2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2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2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2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2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2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2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x14ac:dyDescent="0.2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x14ac:dyDescent="0.2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x14ac:dyDescent="0.2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x14ac:dyDescent="0.2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2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2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2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2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2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2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2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2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2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2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2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2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2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2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2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2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25">
      <c r="A646" s="49" t="s">
        <v>22</v>
      </c>
      <c r="B646" s="50">
        <v>45621</v>
      </c>
      <c r="C646" s="50">
        <v>45623</v>
      </c>
      <c r="D646" s="50">
        <v>45698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2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2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2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2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2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2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2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2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2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2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2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2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2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2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2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2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2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2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2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25">
      <c r="A666" s="49" t="s">
        <v>22</v>
      </c>
      <c r="B666" s="50">
        <v>45631</v>
      </c>
      <c r="C666" s="50">
        <v>45631</v>
      </c>
      <c r="D666" s="50">
        <v>45777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2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2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2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2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2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2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2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2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2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x14ac:dyDescent="0.2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x14ac:dyDescent="0.2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x14ac:dyDescent="0.2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x14ac:dyDescent="0.2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x14ac:dyDescent="0.2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x14ac:dyDescent="0.2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2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2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2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2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2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2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2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2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2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2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x14ac:dyDescent="0.2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2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2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2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2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2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2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2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2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2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2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2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2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2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2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2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2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2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2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2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2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2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2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2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2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2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2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2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2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2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2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2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2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2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2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2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2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2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2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2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2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2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2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2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2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2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2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2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2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2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2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2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2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2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2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2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2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2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x14ac:dyDescent="0.2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2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2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2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2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2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2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2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2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2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x14ac:dyDescent="0.2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2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1089</v>
      </c>
      <c r="F761" s="49" t="s">
        <v>8</v>
      </c>
      <c r="G761" s="51">
        <v>378</v>
      </c>
      <c r="H761" s="51" t="s">
        <v>1090</v>
      </c>
      <c r="I761" s="26" t="s">
        <v>177</v>
      </c>
    </row>
    <row r="762" spans="1:9" x14ac:dyDescent="0.2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1091</v>
      </c>
      <c r="F762" s="49" t="s">
        <v>9</v>
      </c>
      <c r="G762" s="51">
        <v>1</v>
      </c>
      <c r="H762" s="51" t="s">
        <v>1092</v>
      </c>
      <c r="I762" s="26" t="s">
        <v>179</v>
      </c>
    </row>
    <row r="763" spans="1:9" x14ac:dyDescent="0.2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1093</v>
      </c>
      <c r="F763" s="49" t="s">
        <v>8</v>
      </c>
      <c r="G763" s="51">
        <v>50</v>
      </c>
      <c r="H763" s="51" t="s">
        <v>1094</v>
      </c>
      <c r="I763" s="26" t="s">
        <v>177</v>
      </c>
    </row>
    <row r="764" spans="1:9" x14ac:dyDescent="0.2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2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1095</v>
      </c>
      <c r="I765" s="26" t="s">
        <v>188</v>
      </c>
    </row>
    <row r="766" spans="1:9" x14ac:dyDescent="0.2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2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1096</v>
      </c>
      <c r="I767" s="26" t="s">
        <v>188</v>
      </c>
    </row>
    <row r="768" spans="1:9" x14ac:dyDescent="0.2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1097</v>
      </c>
      <c r="I768" s="26" t="s">
        <v>188</v>
      </c>
    </row>
    <row r="769" spans="1:9" x14ac:dyDescent="0.2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1098</v>
      </c>
      <c r="I769" s="26" t="s">
        <v>188</v>
      </c>
    </row>
    <row r="770" spans="1:9" x14ac:dyDescent="0.2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1099</v>
      </c>
      <c r="I770" s="26" t="s">
        <v>188</v>
      </c>
    </row>
    <row r="771" spans="1:9" x14ac:dyDescent="0.2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1100</v>
      </c>
      <c r="I771" s="26" t="s">
        <v>188</v>
      </c>
    </row>
    <row r="772" spans="1:9" x14ac:dyDescent="0.2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1101</v>
      </c>
      <c r="I772" s="26" t="s">
        <v>188</v>
      </c>
    </row>
    <row r="773" spans="1:9" x14ac:dyDescent="0.25">
      <c r="A773" s="49" t="s">
        <v>79</v>
      </c>
      <c r="B773" s="50">
        <v>45680</v>
      </c>
      <c r="C773" s="50">
        <v>45680</v>
      </c>
      <c r="D773" s="50">
        <v>45740</v>
      </c>
      <c r="E773" s="49" t="s">
        <v>201</v>
      </c>
      <c r="F773" s="49" t="s">
        <v>9</v>
      </c>
      <c r="G773" s="51">
        <v>8</v>
      </c>
      <c r="H773" s="51" t="s">
        <v>306</v>
      </c>
      <c r="I773" s="26" t="s">
        <v>181</v>
      </c>
    </row>
    <row r="774" spans="1:9" x14ac:dyDescent="0.25">
      <c r="A774" s="49" t="s">
        <v>106</v>
      </c>
      <c r="B774" s="50">
        <v>45679</v>
      </c>
      <c r="C774" s="50">
        <v>45680</v>
      </c>
      <c r="D774" s="50">
        <v>45740</v>
      </c>
      <c r="E774" s="49" t="s">
        <v>1102</v>
      </c>
      <c r="F774" s="49" t="s">
        <v>9</v>
      </c>
      <c r="G774" s="51">
        <v>57</v>
      </c>
      <c r="H774" s="51" t="s">
        <v>1103</v>
      </c>
      <c r="I774" s="26" t="s">
        <v>186</v>
      </c>
    </row>
    <row r="775" spans="1:9" x14ac:dyDescent="0.25">
      <c r="A775" s="49" t="s">
        <v>22</v>
      </c>
      <c r="B775" s="50">
        <v>45678</v>
      </c>
      <c r="C775" s="50">
        <v>45680</v>
      </c>
      <c r="D775" s="50">
        <v>45738</v>
      </c>
      <c r="E775" s="49" t="s">
        <v>1104</v>
      </c>
      <c r="F775" s="49" t="s">
        <v>8</v>
      </c>
      <c r="G775" s="51">
        <v>46</v>
      </c>
      <c r="H775" s="51" t="s">
        <v>1105</v>
      </c>
      <c r="I775" s="26" t="s">
        <v>180</v>
      </c>
    </row>
    <row r="776" spans="1:9" x14ac:dyDescent="0.25">
      <c r="A776" s="49" t="s">
        <v>5</v>
      </c>
      <c r="B776" s="50">
        <v>45684</v>
      </c>
      <c r="C776" s="50">
        <v>45684</v>
      </c>
      <c r="D776" s="50">
        <v>45672</v>
      </c>
      <c r="E776" s="49" t="s">
        <v>1106</v>
      </c>
      <c r="F776" s="49" t="s">
        <v>129</v>
      </c>
      <c r="G776" s="51">
        <v>151</v>
      </c>
      <c r="H776" s="51" t="s">
        <v>1107</v>
      </c>
      <c r="I776" s="26" t="s">
        <v>188</v>
      </c>
    </row>
    <row r="777" spans="1:9" x14ac:dyDescent="0.25">
      <c r="A777" s="49" t="s">
        <v>453</v>
      </c>
      <c r="B777" s="50">
        <v>45681</v>
      </c>
      <c r="C777" s="50">
        <v>45684</v>
      </c>
      <c r="D777" s="50">
        <v>45747</v>
      </c>
      <c r="E777" s="49" t="s">
        <v>1108</v>
      </c>
      <c r="F777" s="49" t="s">
        <v>8</v>
      </c>
      <c r="G777" s="51">
        <v>209</v>
      </c>
      <c r="H777" s="51" t="s">
        <v>1109</v>
      </c>
      <c r="I777" s="26" t="s">
        <v>179</v>
      </c>
    </row>
    <row r="778" spans="1:9" x14ac:dyDescent="0.25">
      <c r="A778" s="49" t="s">
        <v>5</v>
      </c>
      <c r="B778" s="50">
        <v>45681</v>
      </c>
      <c r="C778" s="50">
        <v>45685</v>
      </c>
      <c r="D778" s="50">
        <v>45741</v>
      </c>
      <c r="E778" s="49" t="s">
        <v>1110</v>
      </c>
      <c r="F778" s="49" t="s">
        <v>8</v>
      </c>
      <c r="G778" s="51">
        <v>6</v>
      </c>
      <c r="H778" s="51" t="s">
        <v>1111</v>
      </c>
      <c r="I778" s="26" t="s">
        <v>186</v>
      </c>
    </row>
    <row r="779" spans="1:9" x14ac:dyDescent="0.25">
      <c r="A779" s="49" t="s">
        <v>5</v>
      </c>
      <c r="B779" s="50">
        <v>45681</v>
      </c>
      <c r="C779" s="50">
        <v>45685</v>
      </c>
      <c r="D779" s="50">
        <v>45741</v>
      </c>
      <c r="E779" s="49" t="s">
        <v>336</v>
      </c>
      <c r="F779" s="49" t="s">
        <v>9</v>
      </c>
      <c r="G779" s="51">
        <v>1</v>
      </c>
      <c r="H779" s="51" t="s">
        <v>1112</v>
      </c>
      <c r="I779" s="26" t="s">
        <v>177</v>
      </c>
    </row>
    <row r="780" spans="1:9" x14ac:dyDescent="0.25">
      <c r="A780" s="49" t="s">
        <v>5</v>
      </c>
      <c r="B780" s="50">
        <v>45681</v>
      </c>
      <c r="C780" s="50">
        <v>45685</v>
      </c>
      <c r="D780" s="50">
        <v>45741</v>
      </c>
      <c r="E780" s="49" t="s">
        <v>336</v>
      </c>
      <c r="F780" s="49" t="s">
        <v>9</v>
      </c>
      <c r="G780" s="51">
        <v>9</v>
      </c>
      <c r="H780" s="51" t="s">
        <v>1113</v>
      </c>
      <c r="I780" s="26" t="s">
        <v>177</v>
      </c>
    </row>
    <row r="781" spans="1:9" x14ac:dyDescent="0.25">
      <c r="A781" s="49" t="s">
        <v>6</v>
      </c>
      <c r="B781" s="50">
        <v>45681</v>
      </c>
      <c r="C781" s="50">
        <v>45685</v>
      </c>
      <c r="D781" s="50">
        <v>45741</v>
      </c>
      <c r="E781" s="49" t="s">
        <v>1114</v>
      </c>
      <c r="F781" s="49" t="s">
        <v>9</v>
      </c>
      <c r="G781" s="51">
        <v>97</v>
      </c>
      <c r="H781" s="51" t="s">
        <v>1115</v>
      </c>
      <c r="I781" s="26" t="s">
        <v>189</v>
      </c>
    </row>
    <row r="782" spans="1:9" x14ac:dyDescent="0.25">
      <c r="A782" s="49" t="s">
        <v>62</v>
      </c>
      <c r="B782" s="50">
        <v>45684</v>
      </c>
      <c r="C782" s="50">
        <v>45685</v>
      </c>
      <c r="D782" s="50">
        <v>45744</v>
      </c>
      <c r="E782" s="49" t="s">
        <v>388</v>
      </c>
      <c r="F782" s="49" t="s">
        <v>8</v>
      </c>
      <c r="G782" s="51">
        <v>9</v>
      </c>
      <c r="H782" s="51" t="s">
        <v>408</v>
      </c>
      <c r="I782" s="26" t="s">
        <v>177</v>
      </c>
    </row>
    <row r="783" spans="1:9" x14ac:dyDescent="0.25">
      <c r="A783" s="49" t="s">
        <v>289</v>
      </c>
      <c r="B783" s="50">
        <v>45681</v>
      </c>
      <c r="C783" s="50">
        <v>45685</v>
      </c>
      <c r="D783" s="50">
        <v>45786</v>
      </c>
      <c r="E783" s="49" t="s">
        <v>1116</v>
      </c>
      <c r="F783" s="49" t="s">
        <v>8</v>
      </c>
      <c r="G783" s="51">
        <v>478</v>
      </c>
      <c r="H783" s="51" t="s">
        <v>1117</v>
      </c>
      <c r="I783" s="26" t="s">
        <v>177</v>
      </c>
    </row>
    <row r="784" spans="1:9" x14ac:dyDescent="0.25">
      <c r="A784" s="49" t="s">
        <v>289</v>
      </c>
      <c r="B784" s="50">
        <v>45681</v>
      </c>
      <c r="C784" s="50">
        <v>45685</v>
      </c>
      <c r="D784" s="50">
        <v>45786</v>
      </c>
      <c r="E784" s="49" t="s">
        <v>1116</v>
      </c>
      <c r="F784" s="49" t="s">
        <v>8</v>
      </c>
      <c r="G784" s="51">
        <v>25</v>
      </c>
      <c r="H784" s="51" t="s">
        <v>1118</v>
      </c>
      <c r="I784" s="26" t="s">
        <v>177</v>
      </c>
    </row>
    <row r="785" spans="1:9" x14ac:dyDescent="0.25">
      <c r="A785" s="49" t="s">
        <v>289</v>
      </c>
      <c r="B785" s="50">
        <v>45681</v>
      </c>
      <c r="C785" s="50">
        <v>45685</v>
      </c>
      <c r="D785" s="50">
        <v>45786</v>
      </c>
      <c r="E785" s="49" t="s">
        <v>1116</v>
      </c>
      <c r="F785" s="49" t="s">
        <v>8</v>
      </c>
      <c r="G785" s="51">
        <v>9</v>
      </c>
      <c r="H785" s="51" t="s">
        <v>1119</v>
      </c>
      <c r="I785" s="26" t="s">
        <v>177</v>
      </c>
    </row>
    <row r="786" spans="1:9" x14ac:dyDescent="0.25">
      <c r="A786" s="49" t="s">
        <v>79</v>
      </c>
      <c r="B786" s="50">
        <v>45686</v>
      </c>
      <c r="C786" s="50">
        <v>45686</v>
      </c>
      <c r="D786" s="50">
        <v>45744</v>
      </c>
      <c r="E786" s="49" t="s">
        <v>446</v>
      </c>
      <c r="F786" s="49" t="s">
        <v>9</v>
      </c>
      <c r="G786" s="51">
        <v>20</v>
      </c>
      <c r="H786" s="51" t="s">
        <v>447</v>
      </c>
      <c r="I786" s="26" t="s">
        <v>184</v>
      </c>
    </row>
    <row r="787" spans="1:9" x14ac:dyDescent="0.25">
      <c r="A787" s="49" t="s">
        <v>5</v>
      </c>
      <c r="B787" s="50">
        <v>45686</v>
      </c>
      <c r="C787" s="50">
        <v>45686</v>
      </c>
      <c r="D787" s="50">
        <v>45747</v>
      </c>
      <c r="E787" s="49" t="s">
        <v>1120</v>
      </c>
      <c r="F787" s="49" t="s">
        <v>8</v>
      </c>
      <c r="G787" s="51">
        <v>45</v>
      </c>
      <c r="H787" s="51" t="s">
        <v>1121</v>
      </c>
      <c r="I787" s="26" t="s">
        <v>177</v>
      </c>
    </row>
    <row r="788" spans="1:9" x14ac:dyDescent="0.25">
      <c r="A788" s="49" t="s">
        <v>62</v>
      </c>
      <c r="B788" s="50">
        <v>45685</v>
      </c>
      <c r="C788" s="50">
        <v>45686</v>
      </c>
      <c r="D788" s="50">
        <v>45745</v>
      </c>
      <c r="E788" s="49" t="s">
        <v>1122</v>
      </c>
      <c r="F788" s="49" t="s">
        <v>9</v>
      </c>
      <c r="G788" s="51">
        <v>53</v>
      </c>
      <c r="H788" s="51" t="s">
        <v>1123</v>
      </c>
      <c r="I788" s="26" t="s">
        <v>177</v>
      </c>
    </row>
    <row r="789" spans="1:9" x14ac:dyDescent="0.25">
      <c r="A789" s="49" t="s">
        <v>62</v>
      </c>
      <c r="B789" s="50">
        <v>45684</v>
      </c>
      <c r="C789" s="50">
        <v>45686</v>
      </c>
      <c r="D789" s="50">
        <v>45747</v>
      </c>
      <c r="E789" s="49" t="s">
        <v>1124</v>
      </c>
      <c r="F789" s="49" t="s">
        <v>9</v>
      </c>
      <c r="G789" s="51">
        <v>55</v>
      </c>
      <c r="H789" s="51" t="s">
        <v>1125</v>
      </c>
      <c r="I789" s="26" t="s">
        <v>177</v>
      </c>
    </row>
    <row r="790" spans="1:9" x14ac:dyDescent="0.25">
      <c r="A790" s="49" t="s">
        <v>5</v>
      </c>
      <c r="B790" s="50">
        <v>45687</v>
      </c>
      <c r="C790" s="50">
        <v>45687</v>
      </c>
      <c r="D790" s="50">
        <v>45747</v>
      </c>
      <c r="E790" s="49" t="s">
        <v>1126</v>
      </c>
      <c r="F790" s="49" t="s">
        <v>8</v>
      </c>
      <c r="G790" s="51">
        <v>139</v>
      </c>
      <c r="H790" s="51" t="s">
        <v>1134</v>
      </c>
      <c r="I790" s="26" t="s">
        <v>177</v>
      </c>
    </row>
    <row r="791" spans="1:9" x14ac:dyDescent="0.25">
      <c r="A791" s="49" t="s">
        <v>86</v>
      </c>
      <c r="B791" s="50">
        <v>45687</v>
      </c>
      <c r="C791" s="50">
        <v>45687</v>
      </c>
      <c r="D791" s="50">
        <v>45748</v>
      </c>
      <c r="E791" s="49" t="s">
        <v>1127</v>
      </c>
      <c r="F791" s="49" t="s">
        <v>9</v>
      </c>
      <c r="G791" s="51">
        <v>81</v>
      </c>
      <c r="H791" s="51" t="s">
        <v>1135</v>
      </c>
      <c r="I791" s="26" t="s">
        <v>177</v>
      </c>
    </row>
    <row r="792" spans="1:9" x14ac:dyDescent="0.25">
      <c r="A792" s="49" t="s">
        <v>165</v>
      </c>
      <c r="B792" s="50">
        <v>45687</v>
      </c>
      <c r="C792" s="50">
        <v>45687</v>
      </c>
      <c r="D792" s="50">
        <v>45747</v>
      </c>
      <c r="E792" s="49" t="s">
        <v>329</v>
      </c>
      <c r="F792" s="49" t="s">
        <v>9</v>
      </c>
      <c r="G792" s="51">
        <v>58</v>
      </c>
      <c r="H792" s="51" t="s">
        <v>548</v>
      </c>
      <c r="I792" s="26" t="s">
        <v>181</v>
      </c>
    </row>
    <row r="793" spans="1:9" x14ac:dyDescent="0.25">
      <c r="A793" s="49" t="s">
        <v>165</v>
      </c>
      <c r="B793" s="50">
        <v>45687</v>
      </c>
      <c r="C793" s="50">
        <v>45687</v>
      </c>
      <c r="D793" s="50">
        <v>45747</v>
      </c>
      <c r="E793" s="49" t="s">
        <v>1128</v>
      </c>
      <c r="F793" s="49" t="s">
        <v>8</v>
      </c>
      <c r="G793" s="51">
        <v>12</v>
      </c>
      <c r="H793" s="51" t="s">
        <v>1136</v>
      </c>
      <c r="I793" s="26" t="s">
        <v>180</v>
      </c>
    </row>
    <row r="794" spans="1:9" x14ac:dyDescent="0.25">
      <c r="A794" s="49" t="s">
        <v>854</v>
      </c>
      <c r="B794" s="50">
        <v>45687</v>
      </c>
      <c r="C794" s="50">
        <v>45687</v>
      </c>
      <c r="D794" s="50">
        <v>45747</v>
      </c>
      <c r="E794" s="49" t="s">
        <v>1129</v>
      </c>
      <c r="F794" s="49" t="s">
        <v>8</v>
      </c>
      <c r="G794" s="51">
        <v>57</v>
      </c>
      <c r="H794" s="51" t="s">
        <v>1137</v>
      </c>
      <c r="I794" s="26" t="s">
        <v>177</v>
      </c>
    </row>
    <row r="795" spans="1:9" x14ac:dyDescent="0.25">
      <c r="A795" s="49" t="s">
        <v>23</v>
      </c>
      <c r="B795" s="50">
        <v>45688</v>
      </c>
      <c r="C795" s="50">
        <v>45688</v>
      </c>
      <c r="D795" s="50">
        <v>45733</v>
      </c>
      <c r="E795" s="49" t="s">
        <v>1130</v>
      </c>
      <c r="F795" s="49" t="s">
        <v>8</v>
      </c>
      <c r="G795" s="51">
        <v>26</v>
      </c>
      <c r="H795" s="51" t="s">
        <v>1138</v>
      </c>
      <c r="I795" s="26" t="s">
        <v>179</v>
      </c>
    </row>
    <row r="796" spans="1:9" x14ac:dyDescent="0.25">
      <c r="A796" s="49" t="s">
        <v>7</v>
      </c>
      <c r="B796" s="50">
        <v>45688</v>
      </c>
      <c r="C796" s="50">
        <v>45688</v>
      </c>
      <c r="D796" s="50">
        <v>45741</v>
      </c>
      <c r="E796" s="49" t="s">
        <v>1130</v>
      </c>
      <c r="F796" s="49" t="s">
        <v>8</v>
      </c>
      <c r="G796" s="51">
        <v>18</v>
      </c>
      <c r="H796" s="51" t="s">
        <v>1139</v>
      </c>
      <c r="I796" s="26" t="s">
        <v>179</v>
      </c>
    </row>
    <row r="797" spans="1:9" x14ac:dyDescent="0.25">
      <c r="A797" s="49" t="s">
        <v>292</v>
      </c>
      <c r="B797" s="50">
        <v>45688</v>
      </c>
      <c r="C797" s="50">
        <v>45688</v>
      </c>
      <c r="D797" s="50">
        <v>45747</v>
      </c>
      <c r="E797" s="49" t="s">
        <v>1131</v>
      </c>
      <c r="F797" s="49" t="s">
        <v>9</v>
      </c>
      <c r="G797" s="51">
        <v>1</v>
      </c>
      <c r="H797" s="51" t="s">
        <v>1140</v>
      </c>
      <c r="I797" s="26" t="s">
        <v>186</v>
      </c>
    </row>
    <row r="798" spans="1:9" x14ac:dyDescent="0.25">
      <c r="A798" s="49" t="s">
        <v>5</v>
      </c>
      <c r="B798" s="50">
        <v>45688</v>
      </c>
      <c r="C798" s="50">
        <v>45688</v>
      </c>
      <c r="D798" s="50">
        <v>45736</v>
      </c>
      <c r="E798" s="49" t="s">
        <v>1130</v>
      </c>
      <c r="F798" s="49" t="s">
        <v>8</v>
      </c>
      <c r="G798" s="51">
        <v>19</v>
      </c>
      <c r="H798" s="51" t="s">
        <v>1141</v>
      </c>
      <c r="I798" s="26" t="s">
        <v>179</v>
      </c>
    </row>
    <row r="799" spans="1:9" x14ac:dyDescent="0.25">
      <c r="A799" s="49" t="s">
        <v>5</v>
      </c>
      <c r="B799" s="50">
        <v>45688</v>
      </c>
      <c r="C799" s="50">
        <v>45688</v>
      </c>
      <c r="D799" s="50">
        <v>45743</v>
      </c>
      <c r="E799" s="49" t="s">
        <v>1130</v>
      </c>
      <c r="F799" s="49" t="s">
        <v>8</v>
      </c>
      <c r="G799" s="51">
        <v>27</v>
      </c>
      <c r="H799" s="51" t="s">
        <v>1142</v>
      </c>
      <c r="I799" s="26" t="s">
        <v>179</v>
      </c>
    </row>
    <row r="800" spans="1:9" x14ac:dyDescent="0.25">
      <c r="A800" s="49" t="s">
        <v>5</v>
      </c>
      <c r="B800" s="50">
        <v>45688</v>
      </c>
      <c r="C800" s="50">
        <v>45688</v>
      </c>
      <c r="D800" s="50">
        <v>45688</v>
      </c>
      <c r="E800" s="49" t="s">
        <v>1131</v>
      </c>
      <c r="F800" s="49" t="s">
        <v>9</v>
      </c>
      <c r="G800" s="51">
        <v>122</v>
      </c>
      <c r="H800" s="51" t="s">
        <v>1143</v>
      </c>
      <c r="I800" s="26" t="s">
        <v>186</v>
      </c>
    </row>
    <row r="801" spans="1:9" x14ac:dyDescent="0.25">
      <c r="A801" s="49" t="s">
        <v>5</v>
      </c>
      <c r="B801" s="50">
        <v>45688</v>
      </c>
      <c r="C801" s="50">
        <v>45688</v>
      </c>
      <c r="D801" s="50">
        <v>45747</v>
      </c>
      <c r="E801" s="49" t="s">
        <v>1131</v>
      </c>
      <c r="F801" s="49" t="s">
        <v>9</v>
      </c>
      <c r="G801" s="51">
        <v>1</v>
      </c>
      <c r="H801" s="51" t="s">
        <v>1144</v>
      </c>
      <c r="I801" s="26" t="s">
        <v>186</v>
      </c>
    </row>
    <row r="802" spans="1:9" x14ac:dyDescent="0.25">
      <c r="A802" s="49" t="s">
        <v>5</v>
      </c>
      <c r="B802" s="50">
        <v>45688</v>
      </c>
      <c r="C802" s="50">
        <v>45688</v>
      </c>
      <c r="D802" s="50">
        <v>45747</v>
      </c>
      <c r="E802" s="49" t="s">
        <v>1131</v>
      </c>
      <c r="F802" s="49" t="s">
        <v>9</v>
      </c>
      <c r="G802" s="51">
        <v>1</v>
      </c>
      <c r="H802" s="51" t="s">
        <v>1145</v>
      </c>
      <c r="I802" s="26" t="s">
        <v>186</v>
      </c>
    </row>
    <row r="803" spans="1:9" x14ac:dyDescent="0.25">
      <c r="A803" s="49" t="s">
        <v>5</v>
      </c>
      <c r="B803" s="50">
        <v>45688</v>
      </c>
      <c r="C803" s="50">
        <v>45688</v>
      </c>
      <c r="D803" s="50">
        <v>45747</v>
      </c>
      <c r="E803" s="49" t="s">
        <v>1131</v>
      </c>
      <c r="F803" s="49" t="s">
        <v>9</v>
      </c>
      <c r="G803" s="51">
        <v>1</v>
      </c>
      <c r="H803" s="51" t="s">
        <v>1146</v>
      </c>
      <c r="I803" s="26" t="s">
        <v>186</v>
      </c>
    </row>
    <row r="804" spans="1:9" x14ac:dyDescent="0.25">
      <c r="A804" s="49" t="s">
        <v>5</v>
      </c>
      <c r="B804" s="50">
        <v>45688</v>
      </c>
      <c r="C804" s="50">
        <v>45688</v>
      </c>
      <c r="D804" s="50">
        <v>45747</v>
      </c>
      <c r="E804" s="49" t="s">
        <v>1131</v>
      </c>
      <c r="F804" s="49" t="s">
        <v>9</v>
      </c>
      <c r="G804" s="51">
        <v>1</v>
      </c>
      <c r="H804" s="51" t="s">
        <v>1147</v>
      </c>
      <c r="I804" s="26" t="s">
        <v>186</v>
      </c>
    </row>
    <row r="805" spans="1:9" x14ac:dyDescent="0.25">
      <c r="A805" s="49" t="s">
        <v>5</v>
      </c>
      <c r="B805" s="50">
        <v>45688</v>
      </c>
      <c r="C805" s="50">
        <v>45688</v>
      </c>
      <c r="D805" s="50">
        <v>45747</v>
      </c>
      <c r="E805" s="49" t="s">
        <v>1131</v>
      </c>
      <c r="F805" s="49" t="s">
        <v>9</v>
      </c>
      <c r="G805" s="51">
        <v>8</v>
      </c>
      <c r="H805" s="51" t="s">
        <v>1185</v>
      </c>
      <c r="I805" s="26" t="s">
        <v>179</v>
      </c>
    </row>
    <row r="806" spans="1:9" x14ac:dyDescent="0.25">
      <c r="A806" s="49" t="s">
        <v>21</v>
      </c>
      <c r="B806" s="50">
        <v>45688</v>
      </c>
      <c r="C806" s="50">
        <v>45688</v>
      </c>
      <c r="D806" s="50">
        <v>45740</v>
      </c>
      <c r="E806" s="49" t="s">
        <v>1130</v>
      </c>
      <c r="F806" s="49" t="s">
        <v>8</v>
      </c>
      <c r="G806" s="51">
        <v>8</v>
      </c>
      <c r="H806" s="51" t="s">
        <v>1148</v>
      </c>
      <c r="I806" s="26" t="s">
        <v>179</v>
      </c>
    </row>
    <row r="807" spans="1:9" x14ac:dyDescent="0.25">
      <c r="A807" s="49" t="s">
        <v>21</v>
      </c>
      <c r="B807" s="50">
        <v>45688</v>
      </c>
      <c r="C807" s="50">
        <v>45688</v>
      </c>
      <c r="D807" s="50">
        <v>45741</v>
      </c>
      <c r="E807" s="49" t="s">
        <v>1130</v>
      </c>
      <c r="F807" s="49" t="s">
        <v>8</v>
      </c>
      <c r="G807" s="51">
        <v>13</v>
      </c>
      <c r="H807" s="51" t="s">
        <v>1149</v>
      </c>
      <c r="I807" s="26" t="s">
        <v>179</v>
      </c>
    </row>
    <row r="808" spans="1:9" x14ac:dyDescent="0.25">
      <c r="A808" s="49" t="s">
        <v>21</v>
      </c>
      <c r="B808" s="50">
        <v>45688</v>
      </c>
      <c r="C808" s="50">
        <v>45688</v>
      </c>
      <c r="D808" s="50">
        <v>45742</v>
      </c>
      <c r="E808" s="49" t="s">
        <v>1130</v>
      </c>
      <c r="F808" s="49" t="s">
        <v>8</v>
      </c>
      <c r="G808" s="51">
        <v>22</v>
      </c>
      <c r="H808" s="51" t="s">
        <v>1150</v>
      </c>
      <c r="I808" s="26" t="s">
        <v>186</v>
      </c>
    </row>
    <row r="809" spans="1:9" x14ac:dyDescent="0.25">
      <c r="A809" s="49" t="s">
        <v>142</v>
      </c>
      <c r="B809" s="50">
        <v>45688</v>
      </c>
      <c r="C809" s="50">
        <v>45688</v>
      </c>
      <c r="D809" s="50">
        <v>45747</v>
      </c>
      <c r="E809" s="49" t="s">
        <v>1131</v>
      </c>
      <c r="F809" s="49" t="s">
        <v>9</v>
      </c>
      <c r="G809" s="51">
        <v>1</v>
      </c>
      <c r="H809" s="51" t="s">
        <v>1151</v>
      </c>
      <c r="I809" s="26" t="s">
        <v>186</v>
      </c>
    </row>
    <row r="810" spans="1:9" x14ac:dyDescent="0.25">
      <c r="A810" s="49" t="s">
        <v>854</v>
      </c>
      <c r="B810" s="50">
        <v>45688</v>
      </c>
      <c r="C810" s="50">
        <v>45688</v>
      </c>
      <c r="D810" s="50">
        <v>45747</v>
      </c>
      <c r="E810" s="49" t="s">
        <v>1131</v>
      </c>
      <c r="F810" s="49" t="s">
        <v>9</v>
      </c>
      <c r="G810" s="51">
        <v>1</v>
      </c>
      <c r="H810" s="51" t="s">
        <v>1152</v>
      </c>
      <c r="I810" s="26" t="s">
        <v>186</v>
      </c>
    </row>
    <row r="811" spans="1:9" x14ac:dyDescent="0.25">
      <c r="A811" s="49" t="s">
        <v>854</v>
      </c>
      <c r="B811" s="50">
        <v>45688</v>
      </c>
      <c r="C811" s="50">
        <v>45688</v>
      </c>
      <c r="D811" s="50">
        <v>45747</v>
      </c>
      <c r="E811" s="49" t="s">
        <v>1131</v>
      </c>
      <c r="F811" s="49" t="s">
        <v>9</v>
      </c>
      <c r="G811" s="51">
        <v>1</v>
      </c>
      <c r="H811" s="51" t="s">
        <v>1153</v>
      </c>
      <c r="I811" s="26" t="s">
        <v>179</v>
      </c>
    </row>
    <row r="812" spans="1:9" x14ac:dyDescent="0.25">
      <c r="A812" s="49" t="s">
        <v>453</v>
      </c>
      <c r="B812" s="50">
        <v>45688</v>
      </c>
      <c r="C812" s="50">
        <v>45688</v>
      </c>
      <c r="D812" s="50">
        <v>45735</v>
      </c>
      <c r="E812" s="49" t="s">
        <v>1130</v>
      </c>
      <c r="F812" s="49" t="s">
        <v>8</v>
      </c>
      <c r="G812" s="51">
        <v>16</v>
      </c>
      <c r="H812" s="51" t="s">
        <v>1154</v>
      </c>
      <c r="I812" s="26" t="s">
        <v>186</v>
      </c>
    </row>
    <row r="813" spans="1:9" x14ac:dyDescent="0.25">
      <c r="A813" s="49" t="s">
        <v>247</v>
      </c>
      <c r="B813" s="50">
        <v>45688</v>
      </c>
      <c r="C813" s="50">
        <v>45688</v>
      </c>
      <c r="D813" s="50">
        <v>45747</v>
      </c>
      <c r="E813" s="49" t="s">
        <v>1131</v>
      </c>
      <c r="F813" s="49" t="s">
        <v>9</v>
      </c>
      <c r="G813" s="51">
        <v>1</v>
      </c>
      <c r="H813" s="51" t="s">
        <v>1155</v>
      </c>
      <c r="I813" s="26" t="s">
        <v>190</v>
      </c>
    </row>
    <row r="814" spans="1:9" x14ac:dyDescent="0.25">
      <c r="A814" s="49" t="s">
        <v>5</v>
      </c>
      <c r="B814" s="50">
        <v>45689</v>
      </c>
      <c r="C814" s="50">
        <v>45691</v>
      </c>
      <c r="D814" s="50">
        <v>45752</v>
      </c>
      <c r="E814" s="49" t="s">
        <v>1132</v>
      </c>
      <c r="F814" s="49" t="s">
        <v>8</v>
      </c>
      <c r="G814" s="51">
        <v>74</v>
      </c>
      <c r="H814" s="51" t="s">
        <v>1156</v>
      </c>
      <c r="I814" s="26" t="s">
        <v>179</v>
      </c>
    </row>
    <row r="815" spans="1:9" x14ac:dyDescent="0.25">
      <c r="A815" s="49" t="s">
        <v>84</v>
      </c>
      <c r="B815" s="50">
        <v>45688</v>
      </c>
      <c r="C815" s="50">
        <v>45691</v>
      </c>
      <c r="D815" s="50">
        <v>45747</v>
      </c>
      <c r="E815" s="49" t="s">
        <v>1133</v>
      </c>
      <c r="F815" s="49" t="s">
        <v>8</v>
      </c>
      <c r="G815" s="51">
        <v>164</v>
      </c>
      <c r="H815" s="51" t="s">
        <v>1157</v>
      </c>
      <c r="I815" s="26" t="s">
        <v>179</v>
      </c>
    </row>
    <row r="816" spans="1:9" x14ac:dyDescent="0.25">
      <c r="A816" s="49" t="s">
        <v>79</v>
      </c>
      <c r="B816" s="50">
        <v>45692</v>
      </c>
      <c r="C816" s="50">
        <v>45692</v>
      </c>
      <c r="D816" s="50">
        <v>45751</v>
      </c>
      <c r="E816" s="49" t="s">
        <v>981</v>
      </c>
      <c r="F816" s="49" t="s">
        <v>8</v>
      </c>
      <c r="G816" s="51">
        <v>69</v>
      </c>
      <c r="H816" s="51" t="s">
        <v>1158</v>
      </c>
      <c r="I816" s="26" t="s">
        <v>178</v>
      </c>
    </row>
    <row r="817" spans="1:9" x14ac:dyDescent="0.25">
      <c r="A817" s="49" t="s">
        <v>7</v>
      </c>
      <c r="B817" s="50">
        <v>45691</v>
      </c>
      <c r="C817" s="50">
        <v>45692</v>
      </c>
      <c r="D817" s="50">
        <v>45756</v>
      </c>
      <c r="E817" s="49" t="s">
        <v>1159</v>
      </c>
      <c r="F817" s="49" t="s">
        <v>8</v>
      </c>
      <c r="G817" s="51">
        <v>117</v>
      </c>
      <c r="H817" s="51" t="s">
        <v>1160</v>
      </c>
      <c r="I817" s="26" t="s">
        <v>184</v>
      </c>
    </row>
    <row r="818" spans="1:9" x14ac:dyDescent="0.25">
      <c r="A818" s="49" t="s">
        <v>84</v>
      </c>
      <c r="B818" s="50">
        <v>45692</v>
      </c>
      <c r="C818" s="50">
        <v>45692</v>
      </c>
      <c r="D818" s="50">
        <v>45692</v>
      </c>
      <c r="E818" s="49" t="s">
        <v>1161</v>
      </c>
      <c r="F818" s="49" t="s">
        <v>9</v>
      </c>
      <c r="G818" s="51">
        <v>77</v>
      </c>
      <c r="H818" s="51" t="s">
        <v>1162</v>
      </c>
      <c r="I818" s="26" t="s">
        <v>188</v>
      </c>
    </row>
    <row r="819" spans="1:9" x14ac:dyDescent="0.25">
      <c r="A819" s="49" t="s">
        <v>84</v>
      </c>
      <c r="B819" s="50">
        <v>45691</v>
      </c>
      <c r="C819" s="50">
        <v>45692</v>
      </c>
      <c r="D819" s="50">
        <v>45755</v>
      </c>
      <c r="E819" s="49" t="s">
        <v>1163</v>
      </c>
      <c r="F819" s="49" t="s">
        <v>8</v>
      </c>
      <c r="G819" s="51">
        <v>64</v>
      </c>
      <c r="H819" s="51" t="s">
        <v>1164</v>
      </c>
      <c r="I819" s="26" t="s">
        <v>184</v>
      </c>
    </row>
    <row r="820" spans="1:9" x14ac:dyDescent="0.25">
      <c r="A820" s="49" t="s">
        <v>84</v>
      </c>
      <c r="B820" s="50">
        <v>45692</v>
      </c>
      <c r="C820" s="50">
        <v>45692</v>
      </c>
      <c r="D820" s="50">
        <v>45755</v>
      </c>
      <c r="E820" s="49" t="s">
        <v>1165</v>
      </c>
      <c r="F820" s="49" t="s">
        <v>9</v>
      </c>
      <c r="G820" s="51">
        <v>56</v>
      </c>
      <c r="H820" s="51" t="s">
        <v>1166</v>
      </c>
      <c r="I820" s="26" t="s">
        <v>180</v>
      </c>
    </row>
    <row r="821" spans="1:9" x14ac:dyDescent="0.25">
      <c r="A821" s="49" t="s">
        <v>84</v>
      </c>
      <c r="B821" s="50">
        <v>45692</v>
      </c>
      <c r="C821" s="50">
        <v>45692</v>
      </c>
      <c r="D821" s="50">
        <v>45752</v>
      </c>
      <c r="E821" s="49" t="s">
        <v>1167</v>
      </c>
      <c r="F821" s="49" t="s">
        <v>9</v>
      </c>
      <c r="G821" s="51">
        <v>489</v>
      </c>
      <c r="H821" s="51" t="s">
        <v>1168</v>
      </c>
      <c r="I821" s="26" t="s">
        <v>180</v>
      </c>
    </row>
    <row r="822" spans="1:9" x14ac:dyDescent="0.25">
      <c r="A822" s="49" t="s">
        <v>84</v>
      </c>
      <c r="B822" s="50">
        <v>45692</v>
      </c>
      <c r="C822" s="50">
        <v>45692</v>
      </c>
      <c r="D822" s="50">
        <v>45752</v>
      </c>
      <c r="E822" s="49" t="s">
        <v>1167</v>
      </c>
      <c r="F822" s="49" t="s">
        <v>9</v>
      </c>
      <c r="G822" s="51">
        <v>157</v>
      </c>
      <c r="H822" s="51" t="s">
        <v>1169</v>
      </c>
      <c r="I822" s="26" t="s">
        <v>180</v>
      </c>
    </row>
    <row r="823" spans="1:9" x14ac:dyDescent="0.25">
      <c r="A823" s="49" t="s">
        <v>84</v>
      </c>
      <c r="B823" s="50">
        <v>45692</v>
      </c>
      <c r="C823" s="50">
        <v>45692</v>
      </c>
      <c r="D823" s="50">
        <v>45752</v>
      </c>
      <c r="E823" s="49" t="s">
        <v>1167</v>
      </c>
      <c r="F823" s="49" t="s">
        <v>9</v>
      </c>
      <c r="G823" s="51">
        <v>3</v>
      </c>
      <c r="H823" s="51" t="s">
        <v>1170</v>
      </c>
      <c r="I823" s="26" t="s">
        <v>180</v>
      </c>
    </row>
    <row r="824" spans="1:9" x14ac:dyDescent="0.25">
      <c r="A824" s="49" t="s">
        <v>84</v>
      </c>
      <c r="B824" s="50">
        <v>45692</v>
      </c>
      <c r="C824" s="50">
        <v>45692</v>
      </c>
      <c r="D824" s="50">
        <v>45752</v>
      </c>
      <c r="E824" s="49" t="s">
        <v>1167</v>
      </c>
      <c r="F824" s="49" t="s">
        <v>9</v>
      </c>
      <c r="G824" s="51">
        <v>3</v>
      </c>
      <c r="H824" s="51" t="s">
        <v>1171</v>
      </c>
      <c r="I824" s="26" t="s">
        <v>180</v>
      </c>
    </row>
    <row r="825" spans="1:9" x14ac:dyDescent="0.25">
      <c r="A825" s="49" t="s">
        <v>62</v>
      </c>
      <c r="B825" s="50">
        <v>45692</v>
      </c>
      <c r="C825" s="50">
        <v>45692</v>
      </c>
      <c r="D825" s="50">
        <v>45752</v>
      </c>
      <c r="E825" s="49" t="s">
        <v>1167</v>
      </c>
      <c r="F825" s="49" t="s">
        <v>9</v>
      </c>
      <c r="G825" s="51">
        <v>87</v>
      </c>
      <c r="H825" s="51" t="s">
        <v>1172</v>
      </c>
      <c r="I825" s="26" t="s">
        <v>177</v>
      </c>
    </row>
    <row r="826" spans="1:9" x14ac:dyDescent="0.25">
      <c r="A826" s="49" t="s">
        <v>62</v>
      </c>
      <c r="B826" s="50">
        <v>45691</v>
      </c>
      <c r="C826" s="50">
        <v>45692</v>
      </c>
      <c r="D826" s="50">
        <v>45732</v>
      </c>
      <c r="E826" s="49" t="s">
        <v>1085</v>
      </c>
      <c r="F826" s="49" t="s">
        <v>9</v>
      </c>
      <c r="G826" s="51">
        <v>3</v>
      </c>
      <c r="H826" s="51" t="s">
        <v>1086</v>
      </c>
      <c r="I826" s="26" t="s">
        <v>178</v>
      </c>
    </row>
    <row r="827" spans="1:9" x14ac:dyDescent="0.25">
      <c r="A827" s="49" t="s">
        <v>383</v>
      </c>
      <c r="B827" s="50">
        <v>45692</v>
      </c>
      <c r="C827" s="50">
        <v>45692</v>
      </c>
      <c r="D827" s="50">
        <v>45795</v>
      </c>
      <c r="E827" s="49" t="s">
        <v>72</v>
      </c>
      <c r="F827" s="49" t="s">
        <v>8</v>
      </c>
      <c r="G827" s="51">
        <v>118</v>
      </c>
      <c r="H827" s="51" t="s">
        <v>1173</v>
      </c>
      <c r="I827" s="26" t="s">
        <v>181</v>
      </c>
    </row>
    <row r="828" spans="1:9" x14ac:dyDescent="0.25">
      <c r="A828" s="49" t="s">
        <v>23</v>
      </c>
      <c r="B828" s="50">
        <v>45693</v>
      </c>
      <c r="C828" s="50">
        <v>45693</v>
      </c>
      <c r="D828" s="50">
        <v>45753</v>
      </c>
      <c r="E828" s="49" t="s">
        <v>1174</v>
      </c>
      <c r="F828" s="49" t="s">
        <v>9</v>
      </c>
      <c r="G828" s="51">
        <v>617</v>
      </c>
      <c r="H828" s="51" t="s">
        <v>1175</v>
      </c>
      <c r="I828" s="26" t="s">
        <v>190</v>
      </c>
    </row>
    <row r="829" spans="1:9" x14ac:dyDescent="0.25">
      <c r="A829" s="49" t="s">
        <v>5</v>
      </c>
      <c r="B829" s="50">
        <v>45693</v>
      </c>
      <c r="C829" s="50">
        <v>45693</v>
      </c>
      <c r="D829" s="50">
        <v>45752</v>
      </c>
      <c r="E829" s="49" t="s">
        <v>1176</v>
      </c>
      <c r="F829" s="49" t="s">
        <v>8</v>
      </c>
      <c r="G829" s="51">
        <v>50</v>
      </c>
      <c r="H829" s="51" t="s">
        <v>1177</v>
      </c>
      <c r="I829" s="26" t="s">
        <v>180</v>
      </c>
    </row>
    <row r="830" spans="1:9" x14ac:dyDescent="0.25">
      <c r="A830" s="49" t="s">
        <v>155</v>
      </c>
      <c r="B830" s="50">
        <v>45686</v>
      </c>
      <c r="C830" s="50">
        <v>45693</v>
      </c>
      <c r="D830" s="50">
        <v>45746</v>
      </c>
      <c r="E830" s="49" t="s">
        <v>1178</v>
      </c>
      <c r="F830" s="49" t="s">
        <v>8</v>
      </c>
      <c r="G830" s="51">
        <v>100</v>
      </c>
      <c r="H830" s="51" t="s">
        <v>157</v>
      </c>
      <c r="I830" s="26" t="s">
        <v>179</v>
      </c>
    </row>
    <row r="831" spans="1:9" x14ac:dyDescent="0.25">
      <c r="A831" s="49" t="s">
        <v>86</v>
      </c>
      <c r="B831" s="50">
        <v>45693</v>
      </c>
      <c r="C831" s="50">
        <v>45693</v>
      </c>
      <c r="D831" s="50">
        <v>45821</v>
      </c>
      <c r="E831" s="49" t="s">
        <v>1179</v>
      </c>
      <c r="F831" s="49" t="s">
        <v>9</v>
      </c>
      <c r="G831" s="51">
        <v>79</v>
      </c>
      <c r="H831" s="51" t="s">
        <v>1180</v>
      </c>
      <c r="I831" s="26" t="s">
        <v>177</v>
      </c>
    </row>
    <row r="832" spans="1:9" x14ac:dyDescent="0.25">
      <c r="A832" s="49" t="s">
        <v>21</v>
      </c>
      <c r="B832" s="50">
        <v>45688</v>
      </c>
      <c r="C832" s="50">
        <v>45693</v>
      </c>
      <c r="D832" s="50">
        <v>45702</v>
      </c>
      <c r="E832" s="49" t="s">
        <v>472</v>
      </c>
      <c r="F832" s="49" t="s">
        <v>9</v>
      </c>
      <c r="G832" s="51">
        <v>8</v>
      </c>
      <c r="H832" s="51" t="s">
        <v>473</v>
      </c>
      <c r="I832" s="26" t="s">
        <v>177</v>
      </c>
    </row>
    <row r="833" spans="1:9" x14ac:dyDescent="0.25">
      <c r="A833" s="49" t="s">
        <v>106</v>
      </c>
      <c r="B833" s="50">
        <v>45688</v>
      </c>
      <c r="C833" s="50">
        <v>45693</v>
      </c>
      <c r="D833" s="50">
        <v>45702</v>
      </c>
      <c r="E833" s="49" t="s">
        <v>472</v>
      </c>
      <c r="F833" s="49" t="s">
        <v>9</v>
      </c>
      <c r="G833" s="51">
        <v>3</v>
      </c>
      <c r="H833" s="51" t="s">
        <v>474</v>
      </c>
      <c r="I833" s="26" t="s">
        <v>177</v>
      </c>
    </row>
    <row r="834" spans="1:9" x14ac:dyDescent="0.25">
      <c r="A834" s="49" t="s">
        <v>6</v>
      </c>
      <c r="B834" s="50">
        <v>45688</v>
      </c>
      <c r="C834" s="50">
        <v>45693</v>
      </c>
      <c r="D834" s="50">
        <v>45702</v>
      </c>
      <c r="E834" s="49" t="s">
        <v>472</v>
      </c>
      <c r="F834" s="49" t="s">
        <v>9</v>
      </c>
      <c r="G834" s="51">
        <v>2</v>
      </c>
      <c r="H834" s="51" t="s">
        <v>1181</v>
      </c>
      <c r="I834" s="26" t="s">
        <v>184</v>
      </c>
    </row>
    <row r="835" spans="1:9" x14ac:dyDescent="0.25">
      <c r="A835" s="49" t="s">
        <v>84</v>
      </c>
      <c r="B835" s="50">
        <v>45692</v>
      </c>
      <c r="C835" s="50">
        <v>45693</v>
      </c>
      <c r="D835" s="50">
        <v>45772</v>
      </c>
      <c r="E835" s="49" t="s">
        <v>1182</v>
      </c>
      <c r="F835" s="49" t="s">
        <v>9</v>
      </c>
      <c r="G835" s="51">
        <v>153</v>
      </c>
      <c r="H835" s="51" t="s">
        <v>1183</v>
      </c>
      <c r="I835" s="26" t="s">
        <v>177</v>
      </c>
    </row>
    <row r="836" spans="1:9" x14ac:dyDescent="0.25">
      <c r="A836" s="49" t="s">
        <v>62</v>
      </c>
      <c r="B836" s="50">
        <v>45688</v>
      </c>
      <c r="C836" s="50">
        <v>45693</v>
      </c>
      <c r="D836" s="50">
        <v>45702</v>
      </c>
      <c r="E836" s="49" t="s">
        <v>472</v>
      </c>
      <c r="F836" s="49" t="s">
        <v>9</v>
      </c>
      <c r="G836" s="51">
        <v>33</v>
      </c>
      <c r="H836" s="51" t="s">
        <v>1184</v>
      </c>
      <c r="I836" s="26" t="s">
        <v>177</v>
      </c>
    </row>
    <row r="837" spans="1:9" x14ac:dyDescent="0.25">
      <c r="A837" s="49" t="s">
        <v>5</v>
      </c>
      <c r="B837" s="50">
        <v>45688</v>
      </c>
      <c r="C837" s="50">
        <v>45693</v>
      </c>
      <c r="D837" s="50">
        <v>45702</v>
      </c>
      <c r="E837" s="49" t="s">
        <v>472</v>
      </c>
      <c r="F837" s="49" t="s">
        <v>9</v>
      </c>
      <c r="G837" s="51">
        <v>27</v>
      </c>
      <c r="H837" s="51" t="s">
        <v>469</v>
      </c>
      <c r="I837" s="26" t="s">
        <v>177</v>
      </c>
    </row>
    <row r="838" spans="1:9" x14ac:dyDescent="0.25">
      <c r="A838" s="49" t="s">
        <v>5</v>
      </c>
      <c r="B838" s="50">
        <v>45688</v>
      </c>
      <c r="C838" s="50">
        <v>45694</v>
      </c>
      <c r="D838" s="50">
        <v>45747</v>
      </c>
      <c r="E838" s="49" t="s">
        <v>1186</v>
      </c>
      <c r="F838" s="49" t="s">
        <v>8</v>
      </c>
      <c r="G838" s="51">
        <v>27</v>
      </c>
      <c r="H838" s="51" t="s">
        <v>1187</v>
      </c>
      <c r="I838" s="26" t="s">
        <v>190</v>
      </c>
    </row>
    <row r="839" spans="1:9" x14ac:dyDescent="0.25">
      <c r="A839" s="49" t="s">
        <v>6</v>
      </c>
      <c r="B839" s="50">
        <v>45694</v>
      </c>
      <c r="C839" s="50">
        <v>45694</v>
      </c>
      <c r="D839" s="50">
        <v>45754</v>
      </c>
      <c r="E839" s="49" t="s">
        <v>944</v>
      </c>
      <c r="F839" s="49" t="s">
        <v>9</v>
      </c>
      <c r="G839" s="51">
        <v>24</v>
      </c>
      <c r="H839" s="51" t="s">
        <v>945</v>
      </c>
      <c r="I839" s="26" t="s">
        <v>177</v>
      </c>
    </row>
    <row r="840" spans="1:9" x14ac:dyDescent="0.25">
      <c r="A840" s="49" t="s">
        <v>114</v>
      </c>
      <c r="B840" s="50">
        <v>45694</v>
      </c>
      <c r="C840" s="50">
        <v>45694</v>
      </c>
      <c r="D840" s="50">
        <v>45755</v>
      </c>
      <c r="E840" s="49" t="s">
        <v>1188</v>
      </c>
      <c r="F840" s="49" t="s">
        <v>8</v>
      </c>
      <c r="G840" s="51">
        <v>13</v>
      </c>
      <c r="H840" s="51" t="s">
        <v>1189</v>
      </c>
      <c r="I840" s="26" t="s">
        <v>177</v>
      </c>
    </row>
    <row r="841" spans="1:9" x14ac:dyDescent="0.25">
      <c r="A841" s="49" t="s">
        <v>289</v>
      </c>
      <c r="B841" s="50">
        <v>45694</v>
      </c>
      <c r="C841" s="50">
        <v>45694</v>
      </c>
      <c r="D841" s="50">
        <v>45755</v>
      </c>
      <c r="E841" s="49" t="s">
        <v>1190</v>
      </c>
      <c r="F841" s="49" t="s">
        <v>9</v>
      </c>
      <c r="G841" s="51">
        <v>81</v>
      </c>
      <c r="H841" s="51" t="s">
        <v>1191</v>
      </c>
      <c r="I841" s="26" t="s">
        <v>178</v>
      </c>
    </row>
    <row r="842" spans="1:9" x14ac:dyDescent="0.25">
      <c r="A842" s="49" t="s">
        <v>139</v>
      </c>
      <c r="B842" s="50">
        <v>45694</v>
      </c>
      <c r="C842" s="50">
        <v>45694</v>
      </c>
      <c r="D842" s="50">
        <v>45755</v>
      </c>
      <c r="E842" s="49" t="s">
        <v>1188</v>
      </c>
      <c r="F842" s="49" t="s">
        <v>9</v>
      </c>
      <c r="G842" s="51">
        <v>8</v>
      </c>
      <c r="H842" s="51" t="s">
        <v>1192</v>
      </c>
      <c r="I842" s="26" t="s">
        <v>177</v>
      </c>
    </row>
    <row r="843" spans="1:9" x14ac:dyDescent="0.25">
      <c r="A843" s="49" t="s">
        <v>22</v>
      </c>
      <c r="B843" s="50">
        <v>45695</v>
      </c>
      <c r="C843" s="50">
        <v>45695</v>
      </c>
      <c r="D843" s="50">
        <v>45698</v>
      </c>
      <c r="E843" s="49" t="s">
        <v>1193</v>
      </c>
      <c r="F843" s="49" t="s">
        <v>8</v>
      </c>
      <c r="G843" s="51">
        <v>142</v>
      </c>
      <c r="H843" s="51" t="s">
        <v>1194</v>
      </c>
      <c r="I843" s="26" t="s">
        <v>177</v>
      </c>
    </row>
    <row r="844" spans="1:9" x14ac:dyDescent="0.25">
      <c r="A844" s="49" t="s">
        <v>86</v>
      </c>
      <c r="B844" s="50">
        <v>45692</v>
      </c>
      <c r="C844" s="50">
        <v>45698</v>
      </c>
      <c r="D844" s="50">
        <v>45692</v>
      </c>
      <c r="E844" s="49" t="s">
        <v>1195</v>
      </c>
      <c r="F844" s="49" t="s">
        <v>9</v>
      </c>
      <c r="G844" s="51">
        <v>39</v>
      </c>
      <c r="H844" s="51" t="s">
        <v>1196</v>
      </c>
      <c r="I844" s="26" t="s">
        <v>184</v>
      </c>
    </row>
    <row r="845" spans="1:9" x14ac:dyDescent="0.25">
      <c r="A845" s="49" t="s">
        <v>1197</v>
      </c>
      <c r="B845" s="50">
        <v>45695</v>
      </c>
      <c r="C845" s="50">
        <v>45698</v>
      </c>
      <c r="D845" s="50">
        <v>45753</v>
      </c>
      <c r="E845" s="49" t="s">
        <v>1198</v>
      </c>
      <c r="F845" s="49" t="s">
        <v>8</v>
      </c>
      <c r="G845" s="51">
        <v>24</v>
      </c>
      <c r="H845" s="51" t="s">
        <v>1199</v>
      </c>
      <c r="I845" s="26" t="s">
        <v>186</v>
      </c>
    </row>
    <row r="846" spans="1:9" x14ac:dyDescent="0.25">
      <c r="A846" s="49" t="s">
        <v>62</v>
      </c>
      <c r="B846" s="50">
        <v>45695</v>
      </c>
      <c r="C846" s="50">
        <v>45698</v>
      </c>
      <c r="D846" s="50">
        <v>45753</v>
      </c>
      <c r="E846" s="49" t="s">
        <v>1198</v>
      </c>
      <c r="F846" s="49" t="s">
        <v>8</v>
      </c>
      <c r="G846" s="51">
        <v>20</v>
      </c>
      <c r="H846" s="51" t="s">
        <v>1200</v>
      </c>
      <c r="I846" s="26" t="s">
        <v>186</v>
      </c>
    </row>
    <row r="847" spans="1:9" x14ac:dyDescent="0.25">
      <c r="A847" s="49" t="s">
        <v>247</v>
      </c>
      <c r="B847" s="50">
        <v>45698</v>
      </c>
      <c r="C847" s="50">
        <v>45698</v>
      </c>
      <c r="D847" s="50">
        <v>45698</v>
      </c>
      <c r="E847" s="49" t="s">
        <v>252</v>
      </c>
      <c r="F847" s="49" t="s">
        <v>9</v>
      </c>
      <c r="G847" s="51">
        <v>1</v>
      </c>
      <c r="H847" s="51" t="s">
        <v>258</v>
      </c>
      <c r="I847" s="26" t="s">
        <v>188</v>
      </c>
    </row>
    <row r="848" spans="1:9" x14ac:dyDescent="0.25">
      <c r="A848" s="49" t="s">
        <v>23</v>
      </c>
      <c r="B848" s="50">
        <v>45698</v>
      </c>
      <c r="C848" s="50">
        <v>45699</v>
      </c>
      <c r="D848" s="50">
        <v>45758</v>
      </c>
      <c r="E848" s="49" t="s">
        <v>1201</v>
      </c>
      <c r="F848" s="49" t="s">
        <v>9</v>
      </c>
      <c r="G848" s="51">
        <v>16</v>
      </c>
      <c r="H848" s="51" t="s">
        <v>1202</v>
      </c>
      <c r="I848" s="26" t="s">
        <v>188</v>
      </c>
    </row>
    <row r="849" spans="1:9" x14ac:dyDescent="0.25">
      <c r="A849" s="49" t="s">
        <v>23</v>
      </c>
      <c r="B849" s="50">
        <v>45698</v>
      </c>
      <c r="C849" s="50">
        <v>45699</v>
      </c>
      <c r="D849" s="50">
        <v>45758</v>
      </c>
      <c r="E849" s="49" t="s">
        <v>1201</v>
      </c>
      <c r="F849" s="49" t="s">
        <v>9</v>
      </c>
      <c r="G849" s="51">
        <v>1</v>
      </c>
      <c r="H849" s="51" t="s">
        <v>1203</v>
      </c>
      <c r="I849" s="26" t="s">
        <v>188</v>
      </c>
    </row>
    <row r="850" spans="1:9" x14ac:dyDescent="0.25">
      <c r="A850" s="49" t="s">
        <v>79</v>
      </c>
      <c r="B850" s="50">
        <v>45698</v>
      </c>
      <c r="C850" s="50">
        <v>45699</v>
      </c>
      <c r="D850" s="50">
        <v>45758</v>
      </c>
      <c r="E850" s="49" t="s">
        <v>1201</v>
      </c>
      <c r="F850" s="49" t="s">
        <v>9</v>
      </c>
      <c r="G850" s="51">
        <v>113</v>
      </c>
      <c r="H850" s="51" t="s">
        <v>1204</v>
      </c>
      <c r="I850" s="26" t="s">
        <v>188</v>
      </c>
    </row>
    <row r="851" spans="1:9" x14ac:dyDescent="0.25">
      <c r="A851" s="49" t="s">
        <v>79</v>
      </c>
      <c r="B851" s="50">
        <v>45698</v>
      </c>
      <c r="C851" s="50">
        <v>45699</v>
      </c>
      <c r="D851" s="50">
        <v>45758</v>
      </c>
      <c r="E851" s="49" t="s">
        <v>1201</v>
      </c>
      <c r="F851" s="49" t="s">
        <v>9</v>
      </c>
      <c r="G851" s="51">
        <v>1</v>
      </c>
      <c r="H851" s="51" t="s">
        <v>1205</v>
      </c>
      <c r="I851" s="26" t="s">
        <v>188</v>
      </c>
    </row>
    <row r="852" spans="1:9" x14ac:dyDescent="0.25">
      <c r="A852" s="49" t="s">
        <v>23</v>
      </c>
      <c r="B852" s="50">
        <v>45698</v>
      </c>
      <c r="C852" s="50">
        <v>45699</v>
      </c>
      <c r="D852" s="50">
        <v>45698</v>
      </c>
      <c r="E852" s="49" t="s">
        <v>373</v>
      </c>
      <c r="F852" s="49" t="s">
        <v>9</v>
      </c>
      <c r="G852" s="51">
        <v>3</v>
      </c>
      <c r="H852" s="51" t="s">
        <v>1206</v>
      </c>
      <c r="I852" s="26" t="s">
        <v>188</v>
      </c>
    </row>
    <row r="853" spans="1:9" x14ac:dyDescent="0.25">
      <c r="A853" s="49" t="s">
        <v>5</v>
      </c>
      <c r="B853" s="50">
        <v>45698</v>
      </c>
      <c r="C853" s="50">
        <v>45699</v>
      </c>
      <c r="D853" s="50">
        <v>45698</v>
      </c>
      <c r="E853" s="49" t="s">
        <v>373</v>
      </c>
      <c r="F853" s="49" t="s">
        <v>9</v>
      </c>
      <c r="G853" s="51">
        <v>1</v>
      </c>
      <c r="H853" s="51" t="s">
        <v>1207</v>
      </c>
      <c r="I853" s="26" t="s">
        <v>188</v>
      </c>
    </row>
    <row r="854" spans="1:9" x14ac:dyDescent="0.25">
      <c r="A854" s="49" t="s">
        <v>5</v>
      </c>
      <c r="B854" s="50">
        <v>45698</v>
      </c>
      <c r="C854" s="50">
        <v>45699</v>
      </c>
      <c r="D854" s="50">
        <v>45698</v>
      </c>
      <c r="E854" s="49" t="s">
        <v>373</v>
      </c>
      <c r="F854" s="49" t="s">
        <v>9</v>
      </c>
      <c r="G854" s="51">
        <v>4</v>
      </c>
      <c r="H854" s="51" t="s">
        <v>1208</v>
      </c>
      <c r="I854" s="26" t="s">
        <v>188</v>
      </c>
    </row>
    <row r="855" spans="1:9" x14ac:dyDescent="0.25">
      <c r="A855" s="49" t="s">
        <v>5</v>
      </c>
      <c r="B855" s="50">
        <v>45698</v>
      </c>
      <c r="C855" s="50">
        <v>45699</v>
      </c>
      <c r="D855" s="50">
        <v>45698</v>
      </c>
      <c r="E855" s="49" t="s">
        <v>373</v>
      </c>
      <c r="F855" s="49" t="s">
        <v>9</v>
      </c>
      <c r="G855" s="51">
        <v>1</v>
      </c>
      <c r="H855" s="51" t="s">
        <v>1209</v>
      </c>
      <c r="I855" s="26" t="s">
        <v>188</v>
      </c>
    </row>
    <row r="856" spans="1:9" x14ac:dyDescent="0.25">
      <c r="A856" s="49" t="s">
        <v>5</v>
      </c>
      <c r="B856" s="50">
        <v>45698</v>
      </c>
      <c r="C856" s="50">
        <v>45699</v>
      </c>
      <c r="D856" s="50">
        <v>45758</v>
      </c>
      <c r="E856" s="49" t="s">
        <v>993</v>
      </c>
      <c r="F856" s="49" t="s">
        <v>9</v>
      </c>
      <c r="G856" s="51">
        <v>4</v>
      </c>
      <c r="H856" s="51" t="s">
        <v>994</v>
      </c>
      <c r="I856" s="26" t="s">
        <v>186</v>
      </c>
    </row>
    <row r="857" spans="1:9" x14ac:dyDescent="0.25">
      <c r="A857" s="49" t="s">
        <v>165</v>
      </c>
      <c r="B857" s="50">
        <v>45692</v>
      </c>
      <c r="C857" s="50">
        <v>45699</v>
      </c>
      <c r="D857" s="50">
        <v>45747</v>
      </c>
      <c r="E857" s="49" t="s">
        <v>1210</v>
      </c>
      <c r="F857" s="49" t="s">
        <v>8</v>
      </c>
      <c r="G857" s="51">
        <v>112</v>
      </c>
      <c r="H857" s="51" t="s">
        <v>1211</v>
      </c>
      <c r="I857" s="26" t="s">
        <v>179</v>
      </c>
    </row>
    <row r="858" spans="1:9" x14ac:dyDescent="0.25">
      <c r="A858" s="49" t="s">
        <v>165</v>
      </c>
      <c r="B858" s="50">
        <v>45692</v>
      </c>
      <c r="C858" s="50">
        <v>45699</v>
      </c>
      <c r="D858" s="50">
        <v>45747</v>
      </c>
      <c r="E858" s="49" t="s">
        <v>1210</v>
      </c>
      <c r="F858" s="49" t="s">
        <v>8</v>
      </c>
      <c r="G858" s="51">
        <v>34</v>
      </c>
      <c r="H858" s="51" t="s">
        <v>1212</v>
      </c>
      <c r="I858" s="26" t="s">
        <v>179</v>
      </c>
    </row>
    <row r="859" spans="1:9" x14ac:dyDescent="0.25">
      <c r="A859" s="49" t="s">
        <v>165</v>
      </c>
      <c r="B859" s="50">
        <v>45692</v>
      </c>
      <c r="C859" s="50">
        <v>45699</v>
      </c>
      <c r="D859" s="50">
        <v>45747</v>
      </c>
      <c r="E859" s="49" t="s">
        <v>1210</v>
      </c>
      <c r="F859" s="49" t="s">
        <v>8</v>
      </c>
      <c r="G859" s="51">
        <v>10</v>
      </c>
      <c r="H859" s="51" t="s">
        <v>1213</v>
      </c>
      <c r="I859" s="26" t="s">
        <v>179</v>
      </c>
    </row>
    <row r="860" spans="1:9" x14ac:dyDescent="0.25">
      <c r="A860" s="49" t="s">
        <v>165</v>
      </c>
      <c r="B860" s="50">
        <v>45692</v>
      </c>
      <c r="C860" s="50">
        <v>45699</v>
      </c>
      <c r="D860" s="50">
        <v>45747</v>
      </c>
      <c r="E860" s="49" t="s">
        <v>1210</v>
      </c>
      <c r="F860" s="49" t="s">
        <v>8</v>
      </c>
      <c r="G860" s="51">
        <v>43</v>
      </c>
      <c r="H860" s="51" t="s">
        <v>1214</v>
      </c>
      <c r="I860" s="26" t="s">
        <v>179</v>
      </c>
    </row>
    <row r="861" spans="1:9" x14ac:dyDescent="0.25">
      <c r="A861" s="49" t="s">
        <v>6</v>
      </c>
      <c r="B861" s="50">
        <v>45698</v>
      </c>
      <c r="C861" s="50">
        <v>45699</v>
      </c>
      <c r="D861" s="50">
        <v>45758</v>
      </c>
      <c r="E861" s="49" t="s">
        <v>1215</v>
      </c>
      <c r="F861" s="49" t="s">
        <v>8</v>
      </c>
      <c r="G861" s="51">
        <v>115</v>
      </c>
      <c r="H861" s="51" t="s">
        <v>1216</v>
      </c>
      <c r="I861" s="26" t="s">
        <v>188</v>
      </c>
    </row>
    <row r="862" spans="1:9" x14ac:dyDescent="0.25">
      <c r="A862" s="49" t="s">
        <v>5</v>
      </c>
      <c r="B862" s="50">
        <v>45699</v>
      </c>
      <c r="C862" s="50">
        <v>45700</v>
      </c>
      <c r="D862" s="50">
        <v>45730</v>
      </c>
      <c r="E862" s="49" t="s">
        <v>1217</v>
      </c>
      <c r="F862" s="49" t="s">
        <v>9</v>
      </c>
      <c r="G862" s="51">
        <v>98</v>
      </c>
      <c r="H862" s="51" t="s">
        <v>1218</v>
      </c>
      <c r="I862" s="26" t="s">
        <v>184</v>
      </c>
    </row>
    <row r="863" spans="1:9" x14ac:dyDescent="0.25">
      <c r="A863" s="49" t="s">
        <v>22</v>
      </c>
      <c r="B863" s="50">
        <v>45700</v>
      </c>
      <c r="C863" s="50">
        <v>45700</v>
      </c>
      <c r="D863" s="50">
        <v>45761</v>
      </c>
      <c r="E863" s="49" t="s">
        <v>1219</v>
      </c>
      <c r="F863" s="49" t="s">
        <v>8</v>
      </c>
      <c r="G863" s="51">
        <v>246</v>
      </c>
      <c r="H863" s="51" t="s">
        <v>1220</v>
      </c>
      <c r="I863" s="26" t="s">
        <v>177</v>
      </c>
    </row>
    <row r="864" spans="1:9" x14ac:dyDescent="0.25">
      <c r="A864" s="49" t="s">
        <v>6</v>
      </c>
      <c r="B864" s="50">
        <v>45699</v>
      </c>
      <c r="C864" s="50">
        <v>45700</v>
      </c>
      <c r="D864" s="50">
        <v>45646</v>
      </c>
      <c r="E864" s="49" t="s">
        <v>223</v>
      </c>
      <c r="F864" s="49" t="s">
        <v>9</v>
      </c>
      <c r="G864" s="51">
        <v>48</v>
      </c>
      <c r="H864" s="51" t="s">
        <v>1221</v>
      </c>
      <c r="I864" s="26" t="s">
        <v>178</v>
      </c>
    </row>
    <row r="865" spans="1:9" x14ac:dyDescent="0.25">
      <c r="A865" s="49" t="s">
        <v>6</v>
      </c>
      <c r="B865" s="50">
        <v>45699</v>
      </c>
      <c r="C865" s="50">
        <v>45700</v>
      </c>
      <c r="D865" s="50">
        <v>45646</v>
      </c>
      <c r="E865" s="49" t="s">
        <v>223</v>
      </c>
      <c r="F865" s="49" t="s">
        <v>9</v>
      </c>
      <c r="G865" s="51">
        <v>42</v>
      </c>
      <c r="H865" s="51" t="s">
        <v>1222</v>
      </c>
      <c r="I865" s="26" t="s">
        <v>178</v>
      </c>
    </row>
    <row r="866" spans="1:9" x14ac:dyDescent="0.25">
      <c r="A866" s="49" t="s">
        <v>861</v>
      </c>
      <c r="B866" s="50">
        <v>45699</v>
      </c>
      <c r="C866" s="50">
        <v>45700</v>
      </c>
      <c r="D866" s="50">
        <v>45758</v>
      </c>
      <c r="E866" s="49" t="s">
        <v>981</v>
      </c>
      <c r="F866" s="49" t="s">
        <v>8</v>
      </c>
      <c r="G866" s="51">
        <v>95</v>
      </c>
      <c r="H866" s="51" t="s">
        <v>1223</v>
      </c>
      <c r="I866" s="26" t="s">
        <v>179</v>
      </c>
    </row>
    <row r="867" spans="1:9" x14ac:dyDescent="0.25">
      <c r="A867" s="49" t="s">
        <v>5</v>
      </c>
      <c r="B867" s="50">
        <v>45701</v>
      </c>
      <c r="C867" s="50">
        <v>45701</v>
      </c>
      <c r="D867" s="50">
        <v>45701</v>
      </c>
      <c r="E867" s="49" t="s">
        <v>1224</v>
      </c>
      <c r="F867" s="49" t="s">
        <v>8</v>
      </c>
      <c r="G867" s="51">
        <v>60</v>
      </c>
      <c r="H867" s="51" t="s">
        <v>1225</v>
      </c>
      <c r="I867" s="26" t="s">
        <v>180</v>
      </c>
    </row>
    <row r="868" spans="1:9" x14ac:dyDescent="0.25">
      <c r="A868" s="49" t="s">
        <v>6</v>
      </c>
      <c r="B868" s="50">
        <v>45700</v>
      </c>
      <c r="C868" s="50">
        <v>45701</v>
      </c>
      <c r="D868" s="50">
        <v>45761</v>
      </c>
      <c r="E868" s="49" t="s">
        <v>230</v>
      </c>
      <c r="F868" s="49" t="s">
        <v>9</v>
      </c>
      <c r="G868" s="51">
        <v>96</v>
      </c>
      <c r="H868" s="51" t="s">
        <v>231</v>
      </c>
      <c r="I868" s="26" t="s">
        <v>184</v>
      </c>
    </row>
    <row r="869" spans="1:9" x14ac:dyDescent="0.25">
      <c r="A869" s="49" t="s">
        <v>23</v>
      </c>
      <c r="B869" s="50">
        <v>45702</v>
      </c>
      <c r="C869" s="50">
        <v>45702</v>
      </c>
      <c r="D869" s="50">
        <v>45702</v>
      </c>
      <c r="E869" s="49" t="s">
        <v>1226</v>
      </c>
      <c r="F869" s="49" t="s">
        <v>9</v>
      </c>
      <c r="G869" s="51">
        <v>6</v>
      </c>
      <c r="H869" s="51" t="s">
        <v>1227</v>
      </c>
      <c r="I869" s="26" t="s">
        <v>186</v>
      </c>
    </row>
    <row r="870" spans="1:9" x14ac:dyDescent="0.25">
      <c r="A870" s="49" t="s">
        <v>23</v>
      </c>
      <c r="B870" s="50">
        <v>45702</v>
      </c>
      <c r="C870" s="50">
        <v>45702</v>
      </c>
      <c r="D870" s="50">
        <v>45702</v>
      </c>
      <c r="E870" s="49" t="s">
        <v>1226</v>
      </c>
      <c r="F870" s="49" t="s">
        <v>9</v>
      </c>
      <c r="G870" s="51">
        <v>20</v>
      </c>
      <c r="H870" s="51" t="s">
        <v>1228</v>
      </c>
      <c r="I870" s="26" t="s">
        <v>186</v>
      </c>
    </row>
    <row r="871" spans="1:9" x14ac:dyDescent="0.25">
      <c r="A871" s="49" t="s">
        <v>84</v>
      </c>
      <c r="B871" s="50">
        <v>45702</v>
      </c>
      <c r="C871" s="50">
        <v>45702</v>
      </c>
      <c r="D871" s="50">
        <v>45702</v>
      </c>
      <c r="E871" s="49" t="s">
        <v>1226</v>
      </c>
      <c r="F871" s="49" t="s">
        <v>9</v>
      </c>
      <c r="G871" s="51">
        <v>26</v>
      </c>
      <c r="H871" s="51" t="s">
        <v>1229</v>
      </c>
      <c r="I871" s="26" t="s">
        <v>186</v>
      </c>
    </row>
    <row r="872" spans="1:9" x14ac:dyDescent="0.25">
      <c r="A872" s="49" t="s">
        <v>86</v>
      </c>
      <c r="B872" s="50">
        <v>45702</v>
      </c>
      <c r="C872" s="50">
        <v>45702</v>
      </c>
      <c r="D872" s="50">
        <v>45702</v>
      </c>
      <c r="E872" s="49" t="s">
        <v>1226</v>
      </c>
      <c r="F872" s="49" t="s">
        <v>9</v>
      </c>
      <c r="G872" s="51">
        <v>10</v>
      </c>
      <c r="H872" s="51" t="s">
        <v>1230</v>
      </c>
      <c r="I872" s="26" t="s">
        <v>186</v>
      </c>
    </row>
    <row r="873" spans="1:9" x14ac:dyDescent="0.25">
      <c r="A873" s="49" t="s">
        <v>86</v>
      </c>
      <c r="B873" s="50">
        <v>45702</v>
      </c>
      <c r="C873" s="50">
        <v>45702</v>
      </c>
      <c r="D873" s="50">
        <v>45702</v>
      </c>
      <c r="E873" s="49" t="s">
        <v>1226</v>
      </c>
      <c r="F873" s="49" t="s">
        <v>9</v>
      </c>
      <c r="G873" s="51">
        <v>23</v>
      </c>
      <c r="H873" s="51" t="s">
        <v>1231</v>
      </c>
      <c r="I873" s="26" t="s">
        <v>186</v>
      </c>
    </row>
    <row r="874" spans="1:9" x14ac:dyDescent="0.25">
      <c r="A874" s="49" t="s">
        <v>86</v>
      </c>
      <c r="B874" s="50">
        <v>45702</v>
      </c>
      <c r="C874" s="50">
        <v>45702</v>
      </c>
      <c r="D874" s="50">
        <v>45702</v>
      </c>
      <c r="E874" s="49" t="s">
        <v>1226</v>
      </c>
      <c r="F874" s="49" t="s">
        <v>9</v>
      </c>
      <c r="G874" s="51">
        <v>4</v>
      </c>
      <c r="H874" s="51" t="s">
        <v>1232</v>
      </c>
      <c r="I874" s="26" t="s">
        <v>186</v>
      </c>
    </row>
    <row r="875" spans="1:9" x14ac:dyDescent="0.25">
      <c r="A875" s="49" t="s">
        <v>86</v>
      </c>
      <c r="B875" s="50">
        <v>45702</v>
      </c>
      <c r="C875" s="50">
        <v>45702</v>
      </c>
      <c r="D875" s="50">
        <v>45702</v>
      </c>
      <c r="E875" s="49" t="s">
        <v>1226</v>
      </c>
      <c r="F875" s="49" t="s">
        <v>9</v>
      </c>
      <c r="G875" s="51">
        <v>35</v>
      </c>
      <c r="H875" s="51" t="s">
        <v>1233</v>
      </c>
      <c r="I875" s="26" t="s">
        <v>186</v>
      </c>
    </row>
    <row r="876" spans="1:9" x14ac:dyDescent="0.25">
      <c r="A876" s="49" t="s">
        <v>86</v>
      </c>
      <c r="B876" s="50">
        <v>45702</v>
      </c>
      <c r="C876" s="50">
        <v>45702</v>
      </c>
      <c r="D876" s="50">
        <v>45702</v>
      </c>
      <c r="E876" s="49" t="s">
        <v>1226</v>
      </c>
      <c r="F876" s="49" t="s">
        <v>9</v>
      </c>
      <c r="G876" s="51">
        <v>9</v>
      </c>
      <c r="H876" s="51" t="s">
        <v>1234</v>
      </c>
      <c r="I876" s="26" t="s">
        <v>186</v>
      </c>
    </row>
    <row r="877" spans="1:9" x14ac:dyDescent="0.25">
      <c r="A877" s="49" t="s">
        <v>86</v>
      </c>
      <c r="B877" s="50">
        <v>45702</v>
      </c>
      <c r="C877" s="50">
        <v>45702</v>
      </c>
      <c r="D877" s="50">
        <v>45702</v>
      </c>
      <c r="E877" s="49" t="s">
        <v>1226</v>
      </c>
      <c r="F877" s="49" t="s">
        <v>9</v>
      </c>
      <c r="G877" s="51">
        <v>18</v>
      </c>
      <c r="H877" s="51" t="s">
        <v>1235</v>
      </c>
      <c r="I877" s="26" t="s">
        <v>186</v>
      </c>
    </row>
    <row r="878" spans="1:9" x14ac:dyDescent="0.25">
      <c r="A878" s="49" t="s">
        <v>86</v>
      </c>
      <c r="B878" s="50">
        <v>45702</v>
      </c>
      <c r="C878" s="50">
        <v>45702</v>
      </c>
      <c r="D878" s="50">
        <v>45702</v>
      </c>
      <c r="E878" s="49" t="s">
        <v>1226</v>
      </c>
      <c r="F878" s="49" t="s">
        <v>9</v>
      </c>
      <c r="G878" s="51">
        <v>1</v>
      </c>
      <c r="H878" s="51" t="s">
        <v>1236</v>
      </c>
      <c r="I878" s="26" t="s">
        <v>186</v>
      </c>
    </row>
    <row r="879" spans="1:9" x14ac:dyDescent="0.25">
      <c r="A879" s="49" t="s">
        <v>86</v>
      </c>
      <c r="B879" s="50">
        <v>45702</v>
      </c>
      <c r="C879" s="50">
        <v>45702</v>
      </c>
      <c r="D879" s="50">
        <v>45702</v>
      </c>
      <c r="E879" s="49" t="s">
        <v>1226</v>
      </c>
      <c r="F879" s="49" t="s">
        <v>9</v>
      </c>
      <c r="G879" s="51">
        <v>8</v>
      </c>
      <c r="H879" s="51" t="s">
        <v>1237</v>
      </c>
      <c r="I879" s="26" t="s">
        <v>186</v>
      </c>
    </row>
    <row r="880" spans="1:9" x14ac:dyDescent="0.25">
      <c r="A880" s="49" t="s">
        <v>86</v>
      </c>
      <c r="B880" s="50">
        <v>45702</v>
      </c>
      <c r="C880" s="50">
        <v>45702</v>
      </c>
      <c r="D880" s="50">
        <v>45702</v>
      </c>
      <c r="E880" s="49" t="s">
        <v>1226</v>
      </c>
      <c r="F880" s="49" t="s">
        <v>9</v>
      </c>
      <c r="G880" s="51">
        <v>19</v>
      </c>
      <c r="H880" s="51" t="s">
        <v>1238</v>
      </c>
      <c r="I880" s="26" t="s">
        <v>186</v>
      </c>
    </row>
    <row r="881" spans="1:9" x14ac:dyDescent="0.25">
      <c r="A881" s="49" t="s">
        <v>62</v>
      </c>
      <c r="B881" s="50">
        <v>45702</v>
      </c>
      <c r="C881" s="50">
        <v>45702</v>
      </c>
      <c r="D881" s="50">
        <v>45702</v>
      </c>
      <c r="E881" s="49" t="s">
        <v>1226</v>
      </c>
      <c r="F881" s="49" t="s">
        <v>9</v>
      </c>
      <c r="G881" s="51">
        <v>24</v>
      </c>
      <c r="H881" s="51" t="s">
        <v>1239</v>
      </c>
      <c r="I881" s="26" t="s">
        <v>186</v>
      </c>
    </row>
    <row r="882" spans="1:9" x14ac:dyDescent="0.25">
      <c r="A882" s="49" t="s">
        <v>22</v>
      </c>
      <c r="B882" s="50">
        <v>45701</v>
      </c>
      <c r="C882" s="50">
        <v>45702</v>
      </c>
      <c r="D882" s="50">
        <v>45761</v>
      </c>
      <c r="E882" s="49" t="s">
        <v>1240</v>
      </c>
      <c r="F882" s="49" t="s">
        <v>8</v>
      </c>
      <c r="G882" s="51">
        <v>77</v>
      </c>
      <c r="H882" s="51" t="s">
        <v>1241</v>
      </c>
      <c r="I882" s="26" t="s">
        <v>190</v>
      </c>
    </row>
    <row r="883" spans="1:9" x14ac:dyDescent="0.25">
      <c r="A883" s="49" t="s">
        <v>114</v>
      </c>
      <c r="B883" s="50">
        <v>45701</v>
      </c>
      <c r="C883" s="50">
        <v>45702</v>
      </c>
      <c r="D883" s="50">
        <v>45761</v>
      </c>
      <c r="E883" s="49" t="s">
        <v>1240</v>
      </c>
      <c r="F883" s="49" t="s">
        <v>8</v>
      </c>
      <c r="G883" s="51">
        <v>55</v>
      </c>
      <c r="H883" s="51" t="s">
        <v>1242</v>
      </c>
      <c r="I883" s="26" t="s">
        <v>190</v>
      </c>
    </row>
    <row r="884" spans="1:9" x14ac:dyDescent="0.25">
      <c r="A884" s="49" t="s">
        <v>23</v>
      </c>
      <c r="B884" s="50">
        <v>45706</v>
      </c>
      <c r="C884" s="50">
        <v>45706</v>
      </c>
      <c r="D884" s="50">
        <v>45759</v>
      </c>
      <c r="E884" s="49" t="s">
        <v>1243</v>
      </c>
      <c r="F884" s="49" t="s">
        <v>9</v>
      </c>
      <c r="G884" s="51">
        <v>116</v>
      </c>
      <c r="H884" s="51" t="s">
        <v>1244</v>
      </c>
      <c r="I884" s="26" t="s">
        <v>177</v>
      </c>
    </row>
    <row r="885" spans="1:9" x14ac:dyDescent="0.25">
      <c r="A885" s="49" t="s">
        <v>5</v>
      </c>
      <c r="B885" s="50">
        <v>45706</v>
      </c>
      <c r="C885" s="50">
        <v>45706</v>
      </c>
      <c r="D885" s="50">
        <v>45768</v>
      </c>
      <c r="E885" s="49" t="s">
        <v>1245</v>
      </c>
      <c r="F885" s="49" t="s">
        <v>9</v>
      </c>
      <c r="G885" s="51">
        <v>358</v>
      </c>
      <c r="H885" s="51" t="s">
        <v>1246</v>
      </c>
      <c r="I885" s="26" t="s">
        <v>179</v>
      </c>
    </row>
    <row r="886" spans="1:9" x14ac:dyDescent="0.25">
      <c r="A886" s="49" t="s">
        <v>5</v>
      </c>
      <c r="B886" s="50">
        <v>45702</v>
      </c>
      <c r="C886" s="50">
        <v>45706</v>
      </c>
      <c r="D886" s="50">
        <v>45762</v>
      </c>
      <c r="E886" s="49" t="s">
        <v>1247</v>
      </c>
      <c r="F886" s="49" t="s">
        <v>9</v>
      </c>
      <c r="G886" s="51">
        <v>73</v>
      </c>
      <c r="H886" s="51" t="s">
        <v>1248</v>
      </c>
      <c r="I886" s="26" t="s">
        <v>177</v>
      </c>
    </row>
    <row r="887" spans="1:9" x14ac:dyDescent="0.25">
      <c r="A887" s="49" t="s">
        <v>5</v>
      </c>
      <c r="B887" s="50">
        <v>45706</v>
      </c>
      <c r="C887" s="50">
        <v>45706</v>
      </c>
      <c r="D887" s="50">
        <v>45768</v>
      </c>
      <c r="E887" s="49" t="s">
        <v>1249</v>
      </c>
      <c r="F887" s="49" t="s">
        <v>9</v>
      </c>
      <c r="G887" s="51">
        <v>110</v>
      </c>
      <c r="H887" s="51" t="s">
        <v>1250</v>
      </c>
      <c r="I887" s="26" t="s">
        <v>177</v>
      </c>
    </row>
    <row r="888" spans="1:9" x14ac:dyDescent="0.25">
      <c r="A888" s="49" t="s">
        <v>21</v>
      </c>
      <c r="B888" s="50">
        <v>45706</v>
      </c>
      <c r="C888" s="50">
        <v>45706</v>
      </c>
      <c r="D888" s="50">
        <v>45768</v>
      </c>
      <c r="E888" s="49" t="s">
        <v>1249</v>
      </c>
      <c r="F888" s="49" t="s">
        <v>9</v>
      </c>
      <c r="G888" s="51">
        <v>5</v>
      </c>
      <c r="H888" s="51" t="s">
        <v>1251</v>
      </c>
      <c r="I888" s="26" t="s">
        <v>177</v>
      </c>
    </row>
    <row r="889" spans="1:9" x14ac:dyDescent="0.25">
      <c r="A889" s="49" t="s">
        <v>21</v>
      </c>
      <c r="B889" s="50">
        <v>45705</v>
      </c>
      <c r="C889" s="50">
        <v>45706</v>
      </c>
      <c r="D889" s="50">
        <v>45763</v>
      </c>
      <c r="E889" s="49" t="s">
        <v>1252</v>
      </c>
      <c r="F889" s="49" t="s">
        <v>8</v>
      </c>
      <c r="G889" s="51">
        <v>74</v>
      </c>
      <c r="H889" s="51" t="s">
        <v>1253</v>
      </c>
      <c r="I889" s="26" t="s">
        <v>179</v>
      </c>
    </row>
    <row r="890" spans="1:9" x14ac:dyDescent="0.25">
      <c r="A890" s="49" t="s">
        <v>21</v>
      </c>
      <c r="B890" s="50">
        <v>45705</v>
      </c>
      <c r="C890" s="50">
        <v>45706</v>
      </c>
      <c r="D890" s="50">
        <v>45756</v>
      </c>
      <c r="E890" s="49" t="s">
        <v>1059</v>
      </c>
      <c r="F890" s="49" t="s">
        <v>8</v>
      </c>
      <c r="G890" s="51">
        <v>23</v>
      </c>
      <c r="H890" s="51" t="s">
        <v>1254</v>
      </c>
      <c r="I890" s="26" t="s">
        <v>179</v>
      </c>
    </row>
    <row r="891" spans="1:9" x14ac:dyDescent="0.25">
      <c r="A891" s="49" t="s">
        <v>106</v>
      </c>
      <c r="B891" s="50">
        <v>45706</v>
      </c>
      <c r="C891" s="50">
        <v>45706</v>
      </c>
      <c r="D891" s="50">
        <v>45768</v>
      </c>
      <c r="E891" s="49" t="s">
        <v>1255</v>
      </c>
      <c r="F891" s="49" t="s">
        <v>9</v>
      </c>
      <c r="G891" s="51">
        <v>194</v>
      </c>
      <c r="H891" s="51" t="s">
        <v>1256</v>
      </c>
      <c r="I891" s="26" t="s">
        <v>180</v>
      </c>
    </row>
    <row r="892" spans="1:9" x14ac:dyDescent="0.25">
      <c r="A892" s="49" t="s">
        <v>106</v>
      </c>
      <c r="B892" s="50">
        <v>45706</v>
      </c>
      <c r="C892" s="50">
        <v>45706</v>
      </c>
      <c r="D892" s="50">
        <v>45768</v>
      </c>
      <c r="E892" s="49" t="s">
        <v>1257</v>
      </c>
      <c r="F892" s="49" t="s">
        <v>9</v>
      </c>
      <c r="G892" s="51">
        <v>23</v>
      </c>
      <c r="H892" s="51" t="s">
        <v>1256</v>
      </c>
      <c r="I892" s="26" t="s">
        <v>178</v>
      </c>
    </row>
    <row r="893" spans="1:9" x14ac:dyDescent="0.25">
      <c r="A893" s="49" t="s">
        <v>5</v>
      </c>
      <c r="B893" s="50">
        <v>45706</v>
      </c>
      <c r="C893" s="50">
        <v>45706</v>
      </c>
      <c r="D893" s="50">
        <v>45768</v>
      </c>
      <c r="E893" s="49" t="s">
        <v>1258</v>
      </c>
      <c r="F893" s="49" t="s">
        <v>8</v>
      </c>
      <c r="G893" s="51">
        <v>62</v>
      </c>
      <c r="H893" s="51" t="s">
        <v>1259</v>
      </c>
      <c r="I893" s="26" t="s">
        <v>178</v>
      </c>
    </row>
    <row r="894" spans="1:9" x14ac:dyDescent="0.25">
      <c r="A894" s="49" t="s">
        <v>6</v>
      </c>
      <c r="B894" s="50">
        <v>45702</v>
      </c>
      <c r="C894" s="50">
        <v>45706</v>
      </c>
      <c r="D894" s="50">
        <v>45762</v>
      </c>
      <c r="E894" s="49" t="s">
        <v>1260</v>
      </c>
      <c r="F894" s="49" t="s">
        <v>8</v>
      </c>
      <c r="G894" s="51">
        <v>33</v>
      </c>
      <c r="H894" s="51" t="s">
        <v>1261</v>
      </c>
      <c r="I894" s="26" t="s">
        <v>181</v>
      </c>
    </row>
    <row r="895" spans="1:9" x14ac:dyDescent="0.25">
      <c r="A895" s="49" t="s">
        <v>6</v>
      </c>
      <c r="B895" s="50">
        <v>45706</v>
      </c>
      <c r="C895" s="50">
        <v>45706</v>
      </c>
      <c r="D895" s="50">
        <v>45768</v>
      </c>
      <c r="E895" s="49" t="s">
        <v>1258</v>
      </c>
      <c r="F895" s="49" t="s">
        <v>8</v>
      </c>
      <c r="G895" s="51">
        <v>109</v>
      </c>
      <c r="H895" s="51" t="s">
        <v>1262</v>
      </c>
      <c r="I895" s="26" t="s">
        <v>178</v>
      </c>
    </row>
    <row r="896" spans="1:9" x14ac:dyDescent="0.25">
      <c r="A896" s="49" t="s">
        <v>5</v>
      </c>
      <c r="B896" s="50">
        <v>45706</v>
      </c>
      <c r="C896" s="50">
        <v>45706</v>
      </c>
      <c r="D896" s="50">
        <v>45777</v>
      </c>
      <c r="E896" s="49" t="s">
        <v>1263</v>
      </c>
      <c r="F896" s="49" t="s">
        <v>9</v>
      </c>
      <c r="G896" s="51">
        <v>59</v>
      </c>
      <c r="H896" s="51" t="s">
        <v>1264</v>
      </c>
      <c r="I896" s="26" t="s">
        <v>180</v>
      </c>
    </row>
    <row r="897" spans="1:9" x14ac:dyDescent="0.25">
      <c r="A897" s="49" t="s">
        <v>289</v>
      </c>
      <c r="B897" s="50">
        <v>45706</v>
      </c>
      <c r="C897" s="50">
        <v>45706</v>
      </c>
      <c r="D897" s="50">
        <v>45768</v>
      </c>
      <c r="E897" s="49" t="s">
        <v>1265</v>
      </c>
      <c r="F897" s="49" t="s">
        <v>9</v>
      </c>
      <c r="G897" s="51">
        <v>20</v>
      </c>
      <c r="H897" s="51" t="s">
        <v>1266</v>
      </c>
      <c r="I897" s="26" t="s">
        <v>177</v>
      </c>
    </row>
    <row r="898" spans="1:9" x14ac:dyDescent="0.25">
      <c r="A898" s="49" t="s">
        <v>5</v>
      </c>
      <c r="B898" s="50">
        <v>45707</v>
      </c>
      <c r="C898" s="50">
        <v>45707</v>
      </c>
      <c r="D898" s="50">
        <v>45768</v>
      </c>
      <c r="E898" s="49" t="s">
        <v>1267</v>
      </c>
      <c r="F898" s="49" t="s">
        <v>9</v>
      </c>
      <c r="G898" s="51">
        <v>7</v>
      </c>
      <c r="H898" s="51" t="s">
        <v>1268</v>
      </c>
      <c r="I898" s="26" t="s">
        <v>177</v>
      </c>
    </row>
    <row r="899" spans="1:9" x14ac:dyDescent="0.25">
      <c r="A899" s="49" t="s">
        <v>5</v>
      </c>
      <c r="B899" s="50">
        <v>45707</v>
      </c>
      <c r="C899" s="50">
        <v>45707</v>
      </c>
      <c r="D899" s="50">
        <v>45768</v>
      </c>
      <c r="E899" s="49" t="s">
        <v>1267</v>
      </c>
      <c r="F899" s="49" t="s">
        <v>9</v>
      </c>
      <c r="G899" s="51">
        <v>1</v>
      </c>
      <c r="H899" s="51" t="s">
        <v>1269</v>
      </c>
      <c r="I899" s="26" t="s">
        <v>177</v>
      </c>
    </row>
    <row r="900" spans="1:9" x14ac:dyDescent="0.25">
      <c r="A900" s="49" t="s">
        <v>5</v>
      </c>
      <c r="B900" s="50">
        <v>45706</v>
      </c>
      <c r="C900" s="50">
        <v>45707</v>
      </c>
      <c r="D900" s="50">
        <v>45767</v>
      </c>
      <c r="E900" s="49" t="s">
        <v>1270</v>
      </c>
      <c r="F900" s="49" t="s">
        <v>8</v>
      </c>
      <c r="G900" s="51">
        <v>5</v>
      </c>
      <c r="H900" s="51" t="s">
        <v>1271</v>
      </c>
      <c r="I900" s="26" t="s">
        <v>183</v>
      </c>
    </row>
    <row r="901" spans="1:9" x14ac:dyDescent="0.25">
      <c r="A901" s="49" t="s">
        <v>5</v>
      </c>
      <c r="B901" s="50">
        <v>45706</v>
      </c>
      <c r="C901" s="50">
        <v>45707</v>
      </c>
      <c r="D901" s="50">
        <v>45767</v>
      </c>
      <c r="E901" s="49" t="s">
        <v>1270</v>
      </c>
      <c r="F901" s="49" t="s">
        <v>8</v>
      </c>
      <c r="G901" s="51">
        <v>5</v>
      </c>
      <c r="H901" s="51" t="s">
        <v>1272</v>
      </c>
      <c r="I901" s="26" t="s">
        <v>183</v>
      </c>
    </row>
    <row r="902" spans="1:9" x14ac:dyDescent="0.25">
      <c r="A902" s="49" t="s">
        <v>5</v>
      </c>
      <c r="B902" s="50">
        <v>45706</v>
      </c>
      <c r="C902" s="50">
        <v>45707</v>
      </c>
      <c r="D902" s="50">
        <v>45767</v>
      </c>
      <c r="E902" s="49" t="s">
        <v>1270</v>
      </c>
      <c r="F902" s="49" t="s">
        <v>8</v>
      </c>
      <c r="G902" s="51">
        <v>5</v>
      </c>
      <c r="H902" s="51" t="s">
        <v>1273</v>
      </c>
      <c r="I902" s="26" t="s">
        <v>183</v>
      </c>
    </row>
    <row r="903" spans="1:9" x14ac:dyDescent="0.25">
      <c r="A903" s="49" t="s">
        <v>5</v>
      </c>
      <c r="B903" s="50">
        <v>45706</v>
      </c>
      <c r="C903" s="50">
        <v>45707</v>
      </c>
      <c r="D903" s="50">
        <v>45767</v>
      </c>
      <c r="E903" s="49" t="s">
        <v>1270</v>
      </c>
      <c r="F903" s="49" t="s">
        <v>8</v>
      </c>
      <c r="G903" s="51">
        <v>6</v>
      </c>
      <c r="H903" s="51" t="s">
        <v>1274</v>
      </c>
      <c r="I903" s="26" t="s">
        <v>183</v>
      </c>
    </row>
    <row r="904" spans="1:9" x14ac:dyDescent="0.25">
      <c r="A904" s="49" t="s">
        <v>21</v>
      </c>
      <c r="B904" s="50">
        <v>45706</v>
      </c>
      <c r="C904" s="50">
        <v>45707</v>
      </c>
      <c r="D904" s="50">
        <v>45767</v>
      </c>
      <c r="E904" s="49" t="s">
        <v>1270</v>
      </c>
      <c r="F904" s="49" t="s">
        <v>8</v>
      </c>
      <c r="G904" s="51">
        <v>14</v>
      </c>
      <c r="H904" s="51" t="s">
        <v>1275</v>
      </c>
      <c r="I904" s="26" t="s">
        <v>183</v>
      </c>
    </row>
    <row r="905" spans="1:9" x14ac:dyDescent="0.25">
      <c r="A905" s="49" t="s">
        <v>106</v>
      </c>
      <c r="B905" s="50">
        <v>45706</v>
      </c>
      <c r="C905" s="50">
        <v>45707</v>
      </c>
      <c r="D905" s="50">
        <v>45767</v>
      </c>
      <c r="E905" s="49" t="s">
        <v>1270</v>
      </c>
      <c r="F905" s="49" t="s">
        <v>8</v>
      </c>
      <c r="G905" s="51">
        <v>2</v>
      </c>
      <c r="H905" s="51" t="s">
        <v>1276</v>
      </c>
      <c r="I905" s="26" t="s">
        <v>183</v>
      </c>
    </row>
    <row r="906" spans="1:9" x14ac:dyDescent="0.25">
      <c r="A906" s="49" t="s">
        <v>106</v>
      </c>
      <c r="B906" s="50">
        <v>45706</v>
      </c>
      <c r="C906" s="50">
        <v>45707</v>
      </c>
      <c r="D906" s="50">
        <v>45767</v>
      </c>
      <c r="E906" s="49" t="s">
        <v>1270</v>
      </c>
      <c r="F906" s="49" t="s">
        <v>8</v>
      </c>
      <c r="G906" s="51">
        <v>6</v>
      </c>
      <c r="H906" s="51" t="s">
        <v>1277</v>
      </c>
      <c r="I906" s="26" t="s">
        <v>183</v>
      </c>
    </row>
    <row r="907" spans="1:9" x14ac:dyDescent="0.25">
      <c r="A907" s="49" t="s">
        <v>165</v>
      </c>
      <c r="B907" s="50">
        <v>45706</v>
      </c>
      <c r="C907" s="50">
        <v>45707</v>
      </c>
      <c r="D907" s="50">
        <v>45767</v>
      </c>
      <c r="E907" s="49" t="s">
        <v>1270</v>
      </c>
      <c r="F907" s="49" t="s">
        <v>8</v>
      </c>
      <c r="G907" s="51">
        <v>4</v>
      </c>
      <c r="H907" s="51" t="s">
        <v>1278</v>
      </c>
      <c r="I907" s="26" t="s">
        <v>183</v>
      </c>
    </row>
    <row r="908" spans="1:9" x14ac:dyDescent="0.25">
      <c r="A908" s="49" t="s">
        <v>22</v>
      </c>
      <c r="B908" s="50">
        <v>45706</v>
      </c>
      <c r="C908" s="50">
        <v>45707</v>
      </c>
      <c r="D908" s="50">
        <v>45767</v>
      </c>
      <c r="E908" s="49" t="s">
        <v>1270</v>
      </c>
      <c r="F908" s="49" t="s">
        <v>8</v>
      </c>
      <c r="G908" s="51">
        <v>3</v>
      </c>
      <c r="H908" s="51" t="s">
        <v>1279</v>
      </c>
      <c r="I908" s="26" t="s">
        <v>183</v>
      </c>
    </row>
    <row r="909" spans="1:9" x14ac:dyDescent="0.25">
      <c r="A909" s="49" t="s">
        <v>22</v>
      </c>
      <c r="B909" s="50">
        <v>45706</v>
      </c>
      <c r="C909" s="50">
        <v>45707</v>
      </c>
      <c r="D909" s="50">
        <v>45767</v>
      </c>
      <c r="E909" s="49" t="s">
        <v>1270</v>
      </c>
      <c r="F909" s="49" t="s">
        <v>8</v>
      </c>
      <c r="G909" s="51">
        <v>1</v>
      </c>
      <c r="H909" s="51" t="s">
        <v>1280</v>
      </c>
      <c r="I909" s="26" t="s">
        <v>183</v>
      </c>
    </row>
    <row r="910" spans="1:9" x14ac:dyDescent="0.25">
      <c r="A910" s="49" t="s">
        <v>22</v>
      </c>
      <c r="B910" s="50">
        <v>45706</v>
      </c>
      <c r="C910" s="50">
        <v>45707</v>
      </c>
      <c r="D910" s="50">
        <v>45767</v>
      </c>
      <c r="E910" s="49" t="s">
        <v>1270</v>
      </c>
      <c r="F910" s="49" t="s">
        <v>8</v>
      </c>
      <c r="G910" s="51">
        <v>1</v>
      </c>
      <c r="H910" s="51" t="s">
        <v>1281</v>
      </c>
      <c r="I910" s="26" t="s">
        <v>183</v>
      </c>
    </row>
    <row r="911" spans="1:9" x14ac:dyDescent="0.25">
      <c r="A911" s="49" t="s">
        <v>22</v>
      </c>
      <c r="B911" s="50">
        <v>45706</v>
      </c>
      <c r="C911" s="50">
        <v>45707</v>
      </c>
      <c r="D911" s="50">
        <v>45767</v>
      </c>
      <c r="E911" s="49" t="s">
        <v>1270</v>
      </c>
      <c r="F911" s="49" t="s">
        <v>8</v>
      </c>
      <c r="G911" s="51">
        <v>3</v>
      </c>
      <c r="H911" s="51" t="s">
        <v>1282</v>
      </c>
      <c r="I911" s="26" t="s">
        <v>183</v>
      </c>
    </row>
    <row r="912" spans="1:9" x14ac:dyDescent="0.25">
      <c r="A912" s="49" t="s">
        <v>22</v>
      </c>
      <c r="B912" s="50">
        <v>45706</v>
      </c>
      <c r="C912" s="50">
        <v>45707</v>
      </c>
      <c r="D912" s="50">
        <v>45767</v>
      </c>
      <c r="E912" s="49" t="s">
        <v>1270</v>
      </c>
      <c r="F912" s="49" t="s">
        <v>8</v>
      </c>
      <c r="G912" s="51">
        <v>6</v>
      </c>
      <c r="H912" s="51" t="s">
        <v>1283</v>
      </c>
      <c r="I912" s="26" t="s">
        <v>183</v>
      </c>
    </row>
    <row r="913" spans="1:9" x14ac:dyDescent="0.25">
      <c r="A913" s="49" t="s">
        <v>22</v>
      </c>
      <c r="B913" s="50">
        <v>45706</v>
      </c>
      <c r="C913" s="50">
        <v>45707</v>
      </c>
      <c r="D913" s="50">
        <v>45767</v>
      </c>
      <c r="E913" s="49" t="s">
        <v>1270</v>
      </c>
      <c r="F913" s="49" t="s">
        <v>8</v>
      </c>
      <c r="G913" s="51">
        <v>6</v>
      </c>
      <c r="H913" s="51" t="s">
        <v>1284</v>
      </c>
      <c r="I913" s="26" t="s">
        <v>183</v>
      </c>
    </row>
    <row r="914" spans="1:9" x14ac:dyDescent="0.25">
      <c r="A914" s="49" t="s">
        <v>22</v>
      </c>
      <c r="B914" s="50">
        <v>45706</v>
      </c>
      <c r="C914" s="50">
        <v>45707</v>
      </c>
      <c r="D914" s="50">
        <v>45767</v>
      </c>
      <c r="E914" s="49" t="s">
        <v>1270</v>
      </c>
      <c r="F914" s="49" t="s">
        <v>8</v>
      </c>
      <c r="G914" s="51">
        <v>8</v>
      </c>
      <c r="H914" s="51" t="s">
        <v>1285</v>
      </c>
      <c r="I914" s="26" t="s">
        <v>183</v>
      </c>
    </row>
    <row r="915" spans="1:9" x14ac:dyDescent="0.25">
      <c r="A915" s="49" t="s">
        <v>247</v>
      </c>
      <c r="B915" s="50">
        <v>45706</v>
      </c>
      <c r="C915" s="50">
        <v>45707</v>
      </c>
      <c r="D915" s="50">
        <v>45767</v>
      </c>
      <c r="E915" s="49" t="s">
        <v>1270</v>
      </c>
      <c r="F915" s="49" t="s">
        <v>8</v>
      </c>
      <c r="G915" s="51">
        <v>1</v>
      </c>
      <c r="H915" s="51" t="s">
        <v>1286</v>
      </c>
      <c r="I915" s="26" t="s">
        <v>183</v>
      </c>
    </row>
    <row r="916" spans="1:9" x14ac:dyDescent="0.25">
      <c r="A916" s="49" t="s">
        <v>5</v>
      </c>
      <c r="B916" s="50">
        <v>45707</v>
      </c>
      <c r="C916" s="50">
        <v>45707</v>
      </c>
      <c r="D916" s="50">
        <v>45768</v>
      </c>
      <c r="E916" s="49" t="s">
        <v>1267</v>
      </c>
      <c r="F916" s="49" t="s">
        <v>9</v>
      </c>
      <c r="G916" s="51">
        <v>12</v>
      </c>
      <c r="H916" s="51" t="s">
        <v>1287</v>
      </c>
      <c r="I916" s="26" t="s">
        <v>177</v>
      </c>
    </row>
    <row r="917" spans="1:9" x14ac:dyDescent="0.25">
      <c r="A917" s="49" t="s">
        <v>22</v>
      </c>
      <c r="B917" s="50">
        <v>45707</v>
      </c>
      <c r="C917" s="50">
        <v>45707</v>
      </c>
      <c r="D917" s="50">
        <v>45768</v>
      </c>
      <c r="E917" s="49" t="s">
        <v>1267</v>
      </c>
      <c r="F917" s="49" t="s">
        <v>9</v>
      </c>
      <c r="G917" s="51">
        <v>16</v>
      </c>
      <c r="H917" s="51" t="s">
        <v>1288</v>
      </c>
      <c r="I917" s="26" t="s">
        <v>177</v>
      </c>
    </row>
    <row r="918" spans="1:9" x14ac:dyDescent="0.25">
      <c r="A918" s="49" t="s">
        <v>22</v>
      </c>
      <c r="B918" s="50">
        <v>45707</v>
      </c>
      <c r="C918" s="50">
        <v>45707</v>
      </c>
      <c r="D918" s="50">
        <v>45768</v>
      </c>
      <c r="E918" s="49" t="s">
        <v>1267</v>
      </c>
      <c r="F918" s="49" t="s">
        <v>9</v>
      </c>
      <c r="G918" s="51">
        <v>14</v>
      </c>
      <c r="H918" s="51" t="s">
        <v>1289</v>
      </c>
      <c r="I918" s="26" t="s">
        <v>177</v>
      </c>
    </row>
    <row r="919" spans="1:9" x14ac:dyDescent="0.25">
      <c r="A919" s="49" t="s">
        <v>84</v>
      </c>
      <c r="B919" s="50">
        <v>45707</v>
      </c>
      <c r="C919" s="50">
        <v>45707</v>
      </c>
      <c r="D919" s="50">
        <v>45768</v>
      </c>
      <c r="E919" s="49" t="s">
        <v>1290</v>
      </c>
      <c r="F919" s="49" t="s">
        <v>9</v>
      </c>
      <c r="G919" s="51">
        <v>51</v>
      </c>
      <c r="H919" s="51" t="s">
        <v>1291</v>
      </c>
      <c r="I919" s="26" t="s">
        <v>181</v>
      </c>
    </row>
    <row r="920" spans="1:9" x14ac:dyDescent="0.25">
      <c r="A920" s="49" t="s">
        <v>383</v>
      </c>
      <c r="B920" s="50">
        <v>45707</v>
      </c>
      <c r="C920" s="50">
        <v>45707</v>
      </c>
      <c r="D920" s="50">
        <v>45768</v>
      </c>
      <c r="E920" s="49" t="s">
        <v>1267</v>
      </c>
      <c r="F920" s="49" t="s">
        <v>9</v>
      </c>
      <c r="G920" s="51">
        <v>1</v>
      </c>
      <c r="H920" s="51" t="s">
        <v>1292</v>
      </c>
      <c r="I920" s="26" t="s">
        <v>177</v>
      </c>
    </row>
    <row r="921" spans="1:9" x14ac:dyDescent="0.25">
      <c r="A921" s="49" t="s">
        <v>62</v>
      </c>
      <c r="B921" s="50">
        <v>45708</v>
      </c>
      <c r="C921" s="50">
        <v>45708</v>
      </c>
      <c r="D921" s="50">
        <v>45708</v>
      </c>
      <c r="E921" s="49" t="s">
        <v>1293</v>
      </c>
      <c r="F921" s="49" t="s">
        <v>8</v>
      </c>
      <c r="G921" s="51">
        <v>80</v>
      </c>
      <c r="H921" s="51" t="s">
        <v>1294</v>
      </c>
      <c r="I921" s="26" t="s">
        <v>177</v>
      </c>
    </row>
    <row r="922" spans="1:9" x14ac:dyDescent="0.25">
      <c r="A922" s="49" t="s">
        <v>21</v>
      </c>
      <c r="B922" s="50">
        <v>45708</v>
      </c>
      <c r="C922" s="50">
        <v>45708</v>
      </c>
      <c r="D922" s="50">
        <v>45767</v>
      </c>
      <c r="E922" s="49" t="s">
        <v>1295</v>
      </c>
      <c r="F922" s="49" t="s">
        <v>8</v>
      </c>
      <c r="G922" s="51">
        <v>145</v>
      </c>
      <c r="H922" s="51" t="s">
        <v>1296</v>
      </c>
      <c r="I922" s="26" t="s">
        <v>180</v>
      </c>
    </row>
    <row r="923" spans="1:9" x14ac:dyDescent="0.25">
      <c r="A923" s="49" t="s">
        <v>84</v>
      </c>
      <c r="B923" s="50">
        <v>45708</v>
      </c>
      <c r="C923" s="50">
        <v>45708</v>
      </c>
      <c r="D923" s="50">
        <v>45778</v>
      </c>
      <c r="E923" s="49" t="s">
        <v>1297</v>
      </c>
      <c r="F923" s="49" t="s">
        <v>8</v>
      </c>
      <c r="G923" s="51">
        <v>68</v>
      </c>
      <c r="H923" s="51" t="s">
        <v>1298</v>
      </c>
      <c r="I923" s="26" t="s">
        <v>191</v>
      </c>
    </row>
    <row r="924" spans="1:9" x14ac:dyDescent="0.25">
      <c r="A924" s="49" t="s">
        <v>114</v>
      </c>
      <c r="B924" s="50">
        <v>45708</v>
      </c>
      <c r="C924" s="50">
        <v>45709</v>
      </c>
      <c r="D924" s="50">
        <v>45768</v>
      </c>
      <c r="E924" s="49" t="s">
        <v>1299</v>
      </c>
      <c r="F924" s="49" t="s">
        <v>8</v>
      </c>
      <c r="G924" s="51">
        <v>70</v>
      </c>
      <c r="H924" s="51" t="s">
        <v>1300</v>
      </c>
      <c r="I924" s="26" t="s">
        <v>177</v>
      </c>
    </row>
    <row r="925" spans="1:9" x14ac:dyDescent="0.25">
      <c r="A925" s="49" t="s">
        <v>5</v>
      </c>
      <c r="B925" s="50">
        <v>45712</v>
      </c>
      <c r="C925" s="50">
        <v>45712</v>
      </c>
      <c r="D925" s="50">
        <v>45712</v>
      </c>
      <c r="E925" s="49" t="s">
        <v>1301</v>
      </c>
      <c r="F925" s="49" t="s">
        <v>8</v>
      </c>
      <c r="G925" s="51">
        <v>217</v>
      </c>
      <c r="H925" s="51" t="s">
        <v>1302</v>
      </c>
      <c r="I925" s="26" t="s">
        <v>181</v>
      </c>
    </row>
    <row r="926" spans="1:9" x14ac:dyDescent="0.25">
      <c r="A926" s="49" t="s">
        <v>79</v>
      </c>
      <c r="B926" s="50">
        <v>45713</v>
      </c>
      <c r="C926" s="50">
        <v>45713</v>
      </c>
      <c r="D926" s="50">
        <v>45807</v>
      </c>
      <c r="E926" s="49" t="s">
        <v>446</v>
      </c>
      <c r="F926" s="49" t="s">
        <v>9</v>
      </c>
      <c r="G926" s="51">
        <v>26</v>
      </c>
      <c r="H926" s="51" t="s">
        <v>447</v>
      </c>
      <c r="I926" s="26" t="s">
        <v>184</v>
      </c>
    </row>
    <row r="927" spans="1:9" x14ac:dyDescent="0.25">
      <c r="A927" s="49" t="s">
        <v>23</v>
      </c>
      <c r="B927" s="50">
        <v>45712</v>
      </c>
      <c r="C927" s="50">
        <v>45713</v>
      </c>
      <c r="D927" s="50">
        <v>45772</v>
      </c>
      <c r="E927" s="49" t="s">
        <v>373</v>
      </c>
      <c r="F927" s="49" t="s">
        <v>9</v>
      </c>
      <c r="G927" s="51">
        <v>3</v>
      </c>
      <c r="H927" s="51" t="s">
        <v>1303</v>
      </c>
      <c r="I927" s="26" t="s">
        <v>188</v>
      </c>
    </row>
    <row r="928" spans="1:9" x14ac:dyDescent="0.25">
      <c r="A928" s="49" t="s">
        <v>23</v>
      </c>
      <c r="B928" s="50">
        <v>45712</v>
      </c>
      <c r="C928" s="50">
        <v>45713</v>
      </c>
      <c r="D928" s="50">
        <v>45772</v>
      </c>
      <c r="E928" s="49" t="s">
        <v>373</v>
      </c>
      <c r="F928" s="49" t="s">
        <v>9</v>
      </c>
      <c r="G928" s="51">
        <v>1</v>
      </c>
      <c r="H928" s="51" t="s">
        <v>1304</v>
      </c>
      <c r="I928" s="26" t="s">
        <v>188</v>
      </c>
    </row>
    <row r="929" spans="1:9" x14ac:dyDescent="0.25">
      <c r="A929" s="49" t="s">
        <v>23</v>
      </c>
      <c r="B929" s="50">
        <v>45712</v>
      </c>
      <c r="C929" s="50">
        <v>45713</v>
      </c>
      <c r="D929" s="50">
        <v>45772</v>
      </c>
      <c r="E929" s="49" t="s">
        <v>373</v>
      </c>
      <c r="F929" s="49" t="s">
        <v>9</v>
      </c>
      <c r="G929" s="51">
        <v>1</v>
      </c>
      <c r="H929" s="51" t="s">
        <v>1305</v>
      </c>
      <c r="I929" s="26" t="s">
        <v>188</v>
      </c>
    </row>
    <row r="930" spans="1:9" x14ac:dyDescent="0.25">
      <c r="A930" s="49" t="s">
        <v>23</v>
      </c>
      <c r="B930" s="50">
        <v>45712</v>
      </c>
      <c r="C930" s="50">
        <v>45713</v>
      </c>
      <c r="D930" s="50">
        <v>45772</v>
      </c>
      <c r="E930" s="49" t="s">
        <v>373</v>
      </c>
      <c r="F930" s="49" t="s">
        <v>9</v>
      </c>
      <c r="G930" s="51">
        <v>1</v>
      </c>
      <c r="H930" s="51" t="s">
        <v>1306</v>
      </c>
      <c r="I930" s="26" t="s">
        <v>188</v>
      </c>
    </row>
    <row r="931" spans="1:9" x14ac:dyDescent="0.25">
      <c r="A931" s="49" t="s">
        <v>23</v>
      </c>
      <c r="B931" s="50">
        <v>45712</v>
      </c>
      <c r="C931" s="50">
        <v>45713</v>
      </c>
      <c r="D931" s="50">
        <v>45772</v>
      </c>
      <c r="E931" s="49" t="s">
        <v>373</v>
      </c>
      <c r="F931" s="49" t="s">
        <v>9</v>
      </c>
      <c r="G931" s="51">
        <v>1</v>
      </c>
      <c r="H931" s="51" t="s">
        <v>1307</v>
      </c>
      <c r="I931" s="26" t="s">
        <v>188</v>
      </c>
    </row>
    <row r="932" spans="1:9" x14ac:dyDescent="0.25">
      <c r="A932" s="49" t="s">
        <v>23</v>
      </c>
      <c r="B932" s="50">
        <v>45712</v>
      </c>
      <c r="C932" s="50">
        <v>45713</v>
      </c>
      <c r="D932" s="50">
        <v>45772</v>
      </c>
      <c r="E932" s="49" t="s">
        <v>373</v>
      </c>
      <c r="F932" s="49" t="s">
        <v>9</v>
      </c>
      <c r="G932" s="51">
        <v>1</v>
      </c>
      <c r="H932" s="51" t="s">
        <v>1308</v>
      </c>
      <c r="I932" s="26" t="s">
        <v>188</v>
      </c>
    </row>
    <row r="933" spans="1:9" x14ac:dyDescent="0.25">
      <c r="A933" s="49" t="s">
        <v>23</v>
      </c>
      <c r="B933" s="50">
        <v>45712</v>
      </c>
      <c r="C933" s="50">
        <v>45713</v>
      </c>
      <c r="D933" s="50">
        <v>45772</v>
      </c>
      <c r="E933" s="49" t="s">
        <v>373</v>
      </c>
      <c r="F933" s="49" t="s">
        <v>9</v>
      </c>
      <c r="G933" s="51">
        <v>1</v>
      </c>
      <c r="H933" s="51" t="s">
        <v>427</v>
      </c>
      <c r="I933" s="26" t="s">
        <v>188</v>
      </c>
    </row>
    <row r="934" spans="1:9" x14ac:dyDescent="0.25">
      <c r="A934" s="49" t="s">
        <v>23</v>
      </c>
      <c r="B934" s="50">
        <v>45712</v>
      </c>
      <c r="C934" s="50">
        <v>45713</v>
      </c>
      <c r="D934" s="50">
        <v>45772</v>
      </c>
      <c r="E934" s="49" t="s">
        <v>373</v>
      </c>
      <c r="F934" s="49" t="s">
        <v>9</v>
      </c>
      <c r="G934" s="51">
        <v>14</v>
      </c>
      <c r="H934" s="51" t="s">
        <v>426</v>
      </c>
      <c r="I934" s="26" t="s">
        <v>188</v>
      </c>
    </row>
    <row r="935" spans="1:9" x14ac:dyDescent="0.25">
      <c r="A935" s="49" t="s">
        <v>23</v>
      </c>
      <c r="B935" s="50">
        <v>45712</v>
      </c>
      <c r="C935" s="50">
        <v>45713</v>
      </c>
      <c r="D935" s="50">
        <v>45772</v>
      </c>
      <c r="E935" s="49" t="s">
        <v>373</v>
      </c>
      <c r="F935" s="49" t="s">
        <v>9</v>
      </c>
      <c r="G935" s="51">
        <v>10</v>
      </c>
      <c r="H935" s="51" t="s">
        <v>1206</v>
      </c>
      <c r="I935" s="26" t="s">
        <v>188</v>
      </c>
    </row>
    <row r="936" spans="1:9" x14ac:dyDescent="0.25">
      <c r="A936" s="49" t="s">
        <v>79</v>
      </c>
      <c r="B936" s="50">
        <v>45712</v>
      </c>
      <c r="C936" s="50">
        <v>45713</v>
      </c>
      <c r="D936" s="50">
        <v>45772</v>
      </c>
      <c r="E936" s="49" t="s">
        <v>373</v>
      </c>
      <c r="F936" s="49" t="s">
        <v>9</v>
      </c>
      <c r="G936" s="51">
        <v>1</v>
      </c>
      <c r="H936" s="51" t="s">
        <v>1309</v>
      </c>
      <c r="I936" s="26" t="s">
        <v>188</v>
      </c>
    </row>
    <row r="937" spans="1:9" x14ac:dyDescent="0.25">
      <c r="A937" s="49" t="s">
        <v>79</v>
      </c>
      <c r="B937" s="50">
        <v>45712</v>
      </c>
      <c r="C937" s="50">
        <v>45713</v>
      </c>
      <c r="D937" s="50">
        <v>45772</v>
      </c>
      <c r="E937" s="49" t="s">
        <v>373</v>
      </c>
      <c r="F937" s="49" t="s">
        <v>9</v>
      </c>
      <c r="G937" s="51">
        <v>2</v>
      </c>
      <c r="H937" s="51" t="s">
        <v>429</v>
      </c>
      <c r="I937" s="26" t="s">
        <v>188</v>
      </c>
    </row>
    <row r="938" spans="1:9" x14ac:dyDescent="0.25">
      <c r="A938" s="49" t="s">
        <v>5</v>
      </c>
      <c r="B938" s="50">
        <v>45709</v>
      </c>
      <c r="C938" s="50">
        <v>45713</v>
      </c>
      <c r="D938" s="50">
        <v>45776</v>
      </c>
      <c r="E938" s="49" t="s">
        <v>1310</v>
      </c>
      <c r="F938" s="49" t="s">
        <v>8</v>
      </c>
      <c r="G938" s="51">
        <v>181</v>
      </c>
      <c r="H938" s="51" t="s">
        <v>1311</v>
      </c>
      <c r="I938" s="26" t="s">
        <v>190</v>
      </c>
    </row>
    <row r="939" spans="1:9" x14ac:dyDescent="0.25">
      <c r="A939" s="49" t="s">
        <v>5</v>
      </c>
      <c r="B939" s="50">
        <v>45712</v>
      </c>
      <c r="C939" s="50">
        <v>45713</v>
      </c>
      <c r="D939" s="50">
        <v>45772</v>
      </c>
      <c r="E939" s="49" t="s">
        <v>373</v>
      </c>
      <c r="F939" s="49" t="s">
        <v>9</v>
      </c>
      <c r="G939" s="51">
        <v>2</v>
      </c>
      <c r="H939" s="51" t="s">
        <v>1312</v>
      </c>
      <c r="I939" s="26" t="s">
        <v>188</v>
      </c>
    </row>
    <row r="940" spans="1:9" x14ac:dyDescent="0.25">
      <c r="A940" s="49" t="s">
        <v>5</v>
      </c>
      <c r="B940" s="50">
        <v>45712</v>
      </c>
      <c r="C940" s="50">
        <v>45713</v>
      </c>
      <c r="D940" s="50">
        <v>45772</v>
      </c>
      <c r="E940" s="49" t="s">
        <v>373</v>
      </c>
      <c r="F940" s="49" t="s">
        <v>9</v>
      </c>
      <c r="G940" s="51">
        <v>1</v>
      </c>
      <c r="H940" s="51" t="s">
        <v>431</v>
      </c>
      <c r="I940" s="26" t="s">
        <v>188</v>
      </c>
    </row>
    <row r="941" spans="1:9" x14ac:dyDescent="0.25">
      <c r="A941" s="49" t="s">
        <v>5</v>
      </c>
      <c r="B941" s="50">
        <v>45712</v>
      </c>
      <c r="C941" s="50">
        <v>45713</v>
      </c>
      <c r="D941" s="50">
        <v>45772</v>
      </c>
      <c r="E941" s="49" t="s">
        <v>373</v>
      </c>
      <c r="F941" s="49" t="s">
        <v>9</v>
      </c>
      <c r="G941" s="51">
        <v>1</v>
      </c>
      <c r="H941" s="51" t="s">
        <v>1313</v>
      </c>
      <c r="I941" s="26" t="s">
        <v>188</v>
      </c>
    </row>
    <row r="942" spans="1:9" x14ac:dyDescent="0.25">
      <c r="A942" s="49" t="s">
        <v>5</v>
      </c>
      <c r="B942" s="50">
        <v>45712</v>
      </c>
      <c r="C942" s="50">
        <v>45713</v>
      </c>
      <c r="D942" s="50">
        <v>45772</v>
      </c>
      <c r="E942" s="49" t="s">
        <v>373</v>
      </c>
      <c r="F942" s="49" t="s">
        <v>9</v>
      </c>
      <c r="G942" s="51">
        <v>2</v>
      </c>
      <c r="H942" s="51" t="s">
        <v>1314</v>
      </c>
      <c r="I942" s="26" t="s">
        <v>188</v>
      </c>
    </row>
    <row r="943" spans="1:9" x14ac:dyDescent="0.25">
      <c r="A943" s="49" t="s">
        <v>5</v>
      </c>
      <c r="B943" s="50">
        <v>45712</v>
      </c>
      <c r="C943" s="50">
        <v>45713</v>
      </c>
      <c r="D943" s="50">
        <v>45772</v>
      </c>
      <c r="E943" s="49" t="s">
        <v>373</v>
      </c>
      <c r="F943" s="49" t="s">
        <v>9</v>
      </c>
      <c r="G943" s="51">
        <v>1</v>
      </c>
      <c r="H943" s="51" t="s">
        <v>1315</v>
      </c>
      <c r="I943" s="26" t="s">
        <v>188</v>
      </c>
    </row>
    <row r="944" spans="1:9" x14ac:dyDescent="0.25">
      <c r="A944" s="49" t="s">
        <v>5</v>
      </c>
      <c r="B944" s="50">
        <v>45712</v>
      </c>
      <c r="C944" s="50">
        <v>45713</v>
      </c>
      <c r="D944" s="50">
        <v>45772</v>
      </c>
      <c r="E944" s="49" t="s">
        <v>373</v>
      </c>
      <c r="F944" s="49" t="s">
        <v>9</v>
      </c>
      <c r="G944" s="51">
        <v>3</v>
      </c>
      <c r="H944" s="51" t="s">
        <v>1316</v>
      </c>
      <c r="I944" s="26" t="s">
        <v>188</v>
      </c>
    </row>
    <row r="945" spans="1:9" x14ac:dyDescent="0.25">
      <c r="A945" s="49" t="s">
        <v>5</v>
      </c>
      <c r="B945" s="50">
        <v>45712</v>
      </c>
      <c r="C945" s="50">
        <v>45713</v>
      </c>
      <c r="D945" s="50">
        <v>45772</v>
      </c>
      <c r="E945" s="49" t="s">
        <v>373</v>
      </c>
      <c r="F945" s="49" t="s">
        <v>9</v>
      </c>
      <c r="G945" s="51">
        <v>8</v>
      </c>
      <c r="H945" s="51" t="s">
        <v>434</v>
      </c>
      <c r="I945" s="26" t="s">
        <v>188</v>
      </c>
    </row>
    <row r="946" spans="1:9" x14ac:dyDescent="0.25">
      <c r="A946" s="49" t="s">
        <v>21</v>
      </c>
      <c r="B946" s="50">
        <v>45712</v>
      </c>
      <c r="C946" s="50">
        <v>45713</v>
      </c>
      <c r="D946" s="50">
        <v>45772</v>
      </c>
      <c r="E946" s="49" t="s">
        <v>373</v>
      </c>
      <c r="F946" s="49" t="s">
        <v>9</v>
      </c>
      <c r="G946" s="51">
        <v>1</v>
      </c>
      <c r="H946" s="51" t="s">
        <v>1317</v>
      </c>
      <c r="I946" s="26" t="s">
        <v>188</v>
      </c>
    </row>
    <row r="947" spans="1:9" x14ac:dyDescent="0.25">
      <c r="A947" s="49" t="s">
        <v>242</v>
      </c>
      <c r="B947" s="50">
        <v>45712</v>
      </c>
      <c r="C947" s="50">
        <v>45713</v>
      </c>
      <c r="D947" s="50">
        <v>45772</v>
      </c>
      <c r="E947" s="49" t="s">
        <v>373</v>
      </c>
      <c r="F947" s="49" t="s">
        <v>9</v>
      </c>
      <c r="G947" s="51">
        <v>1</v>
      </c>
      <c r="H947" s="51" t="s">
        <v>1318</v>
      </c>
      <c r="I947" s="26" t="s">
        <v>188</v>
      </c>
    </row>
    <row r="948" spans="1:9" x14ac:dyDescent="0.25">
      <c r="A948" s="49" t="s">
        <v>22</v>
      </c>
      <c r="B948" s="50">
        <v>45712</v>
      </c>
      <c r="C948" s="50">
        <v>45713</v>
      </c>
      <c r="D948" s="50">
        <v>45772</v>
      </c>
      <c r="E948" s="49" t="s">
        <v>373</v>
      </c>
      <c r="F948" s="49" t="s">
        <v>9</v>
      </c>
      <c r="G948" s="51">
        <v>1</v>
      </c>
      <c r="H948" s="51" t="s">
        <v>1319</v>
      </c>
      <c r="I948" s="26" t="s">
        <v>188</v>
      </c>
    </row>
    <row r="949" spans="1:9" x14ac:dyDescent="0.25">
      <c r="A949" s="49" t="s">
        <v>6</v>
      </c>
      <c r="B949" s="50">
        <v>45712</v>
      </c>
      <c r="C949" s="50">
        <v>45713</v>
      </c>
      <c r="D949" s="50">
        <v>45772</v>
      </c>
      <c r="E949" s="49" t="s">
        <v>373</v>
      </c>
      <c r="F949" s="49" t="s">
        <v>9</v>
      </c>
      <c r="G949" s="51">
        <v>2</v>
      </c>
      <c r="H949" s="51" t="s">
        <v>1320</v>
      </c>
      <c r="I949" s="26" t="s">
        <v>188</v>
      </c>
    </row>
    <row r="950" spans="1:9" x14ac:dyDescent="0.25">
      <c r="A950" s="49" t="s">
        <v>6</v>
      </c>
      <c r="B950" s="50">
        <v>45712</v>
      </c>
      <c r="C950" s="50">
        <v>45713</v>
      </c>
      <c r="D950" s="50">
        <v>45772</v>
      </c>
      <c r="E950" s="49" t="s">
        <v>373</v>
      </c>
      <c r="F950" s="49" t="s">
        <v>9</v>
      </c>
      <c r="G950" s="51">
        <v>2</v>
      </c>
      <c r="H950" s="51" t="s">
        <v>1321</v>
      </c>
      <c r="I950" s="26" t="s">
        <v>188</v>
      </c>
    </row>
    <row r="951" spans="1:9" x14ac:dyDescent="0.25">
      <c r="A951" s="49" t="s">
        <v>86</v>
      </c>
      <c r="B951" s="50">
        <v>45712</v>
      </c>
      <c r="C951" s="50">
        <v>45713</v>
      </c>
      <c r="D951" s="50">
        <v>45772</v>
      </c>
      <c r="E951" s="49" t="s">
        <v>373</v>
      </c>
      <c r="F951" s="49" t="s">
        <v>9</v>
      </c>
      <c r="G951" s="51">
        <v>1</v>
      </c>
      <c r="H951" s="51" t="s">
        <v>1322</v>
      </c>
      <c r="I951" s="26" t="s">
        <v>188</v>
      </c>
    </row>
    <row r="952" spans="1:9" x14ac:dyDescent="0.25">
      <c r="A952" s="49" t="s">
        <v>62</v>
      </c>
      <c r="B952" s="50">
        <v>45712</v>
      </c>
      <c r="C952" s="50">
        <v>45713</v>
      </c>
      <c r="D952" s="50">
        <v>45772</v>
      </c>
      <c r="E952" s="49" t="s">
        <v>373</v>
      </c>
      <c r="F952" s="49" t="s">
        <v>9</v>
      </c>
      <c r="G952" s="51">
        <v>1</v>
      </c>
      <c r="H952" s="51" t="s">
        <v>1323</v>
      </c>
      <c r="I952" s="26" t="s">
        <v>188</v>
      </c>
    </row>
    <row r="953" spans="1:9" x14ac:dyDescent="0.25">
      <c r="A953" s="49" t="s">
        <v>289</v>
      </c>
      <c r="B953" s="50">
        <v>45712</v>
      </c>
      <c r="C953" s="50">
        <v>45713</v>
      </c>
      <c r="D953" s="50">
        <v>45772</v>
      </c>
      <c r="E953" s="49" t="s">
        <v>373</v>
      </c>
      <c r="F953" s="49" t="s">
        <v>9</v>
      </c>
      <c r="G953" s="51">
        <v>1</v>
      </c>
      <c r="H953" s="51" t="s">
        <v>1324</v>
      </c>
      <c r="I953" s="26" t="s">
        <v>188</v>
      </c>
    </row>
    <row r="954" spans="1:9" x14ac:dyDescent="0.25">
      <c r="A954" s="49" t="s">
        <v>67</v>
      </c>
      <c r="B954" s="50">
        <v>45712</v>
      </c>
      <c r="C954" s="50">
        <v>45713</v>
      </c>
      <c r="D954" s="50">
        <v>45772</v>
      </c>
      <c r="E954" s="49" t="s">
        <v>1325</v>
      </c>
      <c r="F954" s="49" t="s">
        <v>9</v>
      </c>
      <c r="G954" s="51">
        <v>50</v>
      </c>
      <c r="H954" s="51" t="s">
        <v>1326</v>
      </c>
      <c r="I954" s="26" t="s">
        <v>189</v>
      </c>
    </row>
    <row r="955" spans="1:9" x14ac:dyDescent="0.25">
      <c r="A955" s="49" t="s">
        <v>23</v>
      </c>
      <c r="B955" s="50">
        <v>45702</v>
      </c>
      <c r="C955" s="50">
        <v>45714</v>
      </c>
      <c r="D955" s="50">
        <v>45762</v>
      </c>
      <c r="E955" s="49" t="s">
        <v>1327</v>
      </c>
      <c r="F955" s="49" t="s">
        <v>8</v>
      </c>
      <c r="G955" s="51">
        <v>42</v>
      </c>
      <c r="H955" s="51" t="s">
        <v>1328</v>
      </c>
      <c r="I955" s="26" t="s">
        <v>177</v>
      </c>
    </row>
    <row r="956" spans="1:9" x14ac:dyDescent="0.25">
      <c r="A956" s="49" t="s">
        <v>5</v>
      </c>
      <c r="B956" s="50">
        <v>45713</v>
      </c>
      <c r="C956" s="50">
        <v>45714</v>
      </c>
      <c r="D956" s="50">
        <v>45769</v>
      </c>
      <c r="E956" s="49" t="s">
        <v>76</v>
      </c>
      <c r="F956" s="49" t="s">
        <v>9</v>
      </c>
      <c r="G956" s="51">
        <v>12</v>
      </c>
      <c r="H956" s="51" t="s">
        <v>1329</v>
      </c>
      <c r="I956" s="26" t="s">
        <v>182</v>
      </c>
    </row>
    <row r="957" spans="1:9" x14ac:dyDescent="0.25">
      <c r="A957" s="49" t="s">
        <v>5</v>
      </c>
      <c r="B957" s="50">
        <v>45713</v>
      </c>
      <c r="C957" s="50">
        <v>45714</v>
      </c>
      <c r="D957" s="50">
        <v>45769</v>
      </c>
      <c r="E957" s="49" t="s">
        <v>76</v>
      </c>
      <c r="F957" s="49" t="s">
        <v>9</v>
      </c>
      <c r="G957" s="51">
        <v>5</v>
      </c>
      <c r="H957" s="51" t="s">
        <v>1330</v>
      </c>
      <c r="I957" s="26" t="s">
        <v>182</v>
      </c>
    </row>
    <row r="958" spans="1:9" x14ac:dyDescent="0.25">
      <c r="A958" s="49" t="s">
        <v>21</v>
      </c>
      <c r="B958" s="50">
        <v>45707</v>
      </c>
      <c r="C958" s="50">
        <v>45714</v>
      </c>
      <c r="D958" s="50">
        <v>45772</v>
      </c>
      <c r="E958" s="49" t="s">
        <v>1331</v>
      </c>
      <c r="F958" s="49" t="s">
        <v>8</v>
      </c>
      <c r="G958" s="51">
        <v>20</v>
      </c>
      <c r="H958" s="51" t="s">
        <v>1332</v>
      </c>
      <c r="I958" s="26" t="s">
        <v>179</v>
      </c>
    </row>
    <row r="959" spans="1:9" x14ac:dyDescent="0.25">
      <c r="A959" s="49" t="s">
        <v>106</v>
      </c>
      <c r="B959" s="50">
        <v>45713</v>
      </c>
      <c r="C959" s="50">
        <v>45714</v>
      </c>
      <c r="D959" s="50">
        <v>45744</v>
      </c>
      <c r="E959" s="49" t="s">
        <v>1333</v>
      </c>
      <c r="F959" s="49" t="s">
        <v>9</v>
      </c>
      <c r="G959" s="51">
        <v>18</v>
      </c>
      <c r="H959" s="51" t="s">
        <v>1334</v>
      </c>
      <c r="I959" s="26" t="s">
        <v>177</v>
      </c>
    </row>
    <row r="960" spans="1:9" x14ac:dyDescent="0.25">
      <c r="A960" s="49" t="s">
        <v>106</v>
      </c>
      <c r="B960" s="50">
        <v>45705</v>
      </c>
      <c r="C960" s="50">
        <v>45714</v>
      </c>
      <c r="D960" s="50">
        <v>45770</v>
      </c>
      <c r="E960" s="49" t="s">
        <v>1331</v>
      </c>
      <c r="F960" s="49" t="s">
        <v>8</v>
      </c>
      <c r="G960" s="51">
        <v>63</v>
      </c>
      <c r="H960" s="51" t="s">
        <v>1335</v>
      </c>
      <c r="I960" s="26" t="s">
        <v>179</v>
      </c>
    </row>
    <row r="961" spans="1:9" x14ac:dyDescent="0.25">
      <c r="A961" s="49" t="s">
        <v>22</v>
      </c>
      <c r="B961" s="50">
        <v>45705</v>
      </c>
      <c r="C961" s="50">
        <v>45714</v>
      </c>
      <c r="D961" s="50">
        <v>45770</v>
      </c>
      <c r="E961" s="49" t="s">
        <v>1331</v>
      </c>
      <c r="F961" s="49" t="s">
        <v>8</v>
      </c>
      <c r="G961" s="51">
        <v>70</v>
      </c>
      <c r="H961" s="51" t="s">
        <v>1336</v>
      </c>
      <c r="I961" s="26" t="s">
        <v>179</v>
      </c>
    </row>
    <row r="962" spans="1:9" x14ac:dyDescent="0.25">
      <c r="A962" s="49" t="s">
        <v>22</v>
      </c>
      <c r="B962" s="50">
        <v>45705</v>
      </c>
      <c r="C962" s="50">
        <v>45714</v>
      </c>
      <c r="D962" s="50">
        <v>45772</v>
      </c>
      <c r="E962" s="49" t="s">
        <v>1331</v>
      </c>
      <c r="F962" s="49" t="s">
        <v>8</v>
      </c>
      <c r="G962" s="51">
        <v>17</v>
      </c>
      <c r="H962" s="51" t="s">
        <v>1337</v>
      </c>
      <c r="I962" s="26" t="s">
        <v>179</v>
      </c>
    </row>
    <row r="963" spans="1:9" x14ac:dyDescent="0.25">
      <c r="A963" s="49" t="s">
        <v>22</v>
      </c>
      <c r="B963" s="50">
        <v>45705</v>
      </c>
      <c r="C963" s="50">
        <v>45714</v>
      </c>
      <c r="D963" s="50">
        <v>45772</v>
      </c>
      <c r="E963" s="49" t="s">
        <v>1331</v>
      </c>
      <c r="F963" s="49" t="s">
        <v>8</v>
      </c>
      <c r="G963" s="51">
        <v>21</v>
      </c>
      <c r="H963" s="51" t="s">
        <v>1338</v>
      </c>
      <c r="I963" s="26" t="s">
        <v>179</v>
      </c>
    </row>
    <row r="964" spans="1:9" x14ac:dyDescent="0.25">
      <c r="A964" s="49" t="s">
        <v>6</v>
      </c>
      <c r="B964" s="50">
        <v>45713</v>
      </c>
      <c r="C964" s="50">
        <v>45714</v>
      </c>
      <c r="D964" s="50">
        <v>45773</v>
      </c>
      <c r="E964" s="49" t="s">
        <v>1339</v>
      </c>
      <c r="F964" s="49" t="s">
        <v>9</v>
      </c>
      <c r="G964" s="51">
        <v>51</v>
      </c>
      <c r="H964" s="51" t="s">
        <v>1340</v>
      </c>
      <c r="I964" s="26" t="s">
        <v>181</v>
      </c>
    </row>
    <row r="965" spans="1:9" x14ac:dyDescent="0.25">
      <c r="A965" s="49" t="s">
        <v>21</v>
      </c>
      <c r="B965" s="50">
        <v>45707</v>
      </c>
      <c r="C965" s="50">
        <v>45714</v>
      </c>
      <c r="D965" s="50">
        <v>45772</v>
      </c>
      <c r="E965" s="49" t="s">
        <v>1331</v>
      </c>
      <c r="F965" s="49" t="s">
        <v>8</v>
      </c>
      <c r="G965" s="51">
        <v>24</v>
      </c>
      <c r="H965" s="51" t="s">
        <v>1341</v>
      </c>
      <c r="I965" s="26" t="s">
        <v>179</v>
      </c>
    </row>
    <row r="966" spans="1:9" x14ac:dyDescent="0.25">
      <c r="A966" s="49" t="s">
        <v>5</v>
      </c>
      <c r="B966" s="50">
        <v>45707</v>
      </c>
      <c r="C966" s="50">
        <v>45714</v>
      </c>
      <c r="D966" s="50">
        <v>45772</v>
      </c>
      <c r="E966" s="49" t="s">
        <v>1331</v>
      </c>
      <c r="F966" s="49" t="s">
        <v>8</v>
      </c>
      <c r="G966" s="51">
        <v>30</v>
      </c>
      <c r="H966" s="51" t="s">
        <v>1342</v>
      </c>
      <c r="I966" s="26" t="s">
        <v>179</v>
      </c>
    </row>
    <row r="967" spans="1:9" x14ac:dyDescent="0.25">
      <c r="A967" s="49" t="s">
        <v>5</v>
      </c>
      <c r="B967" s="50">
        <v>45707</v>
      </c>
      <c r="C967" s="50">
        <v>45714</v>
      </c>
      <c r="D967" s="50">
        <v>45772</v>
      </c>
      <c r="E967" s="49" t="s">
        <v>1331</v>
      </c>
      <c r="F967" s="49" t="s">
        <v>8</v>
      </c>
      <c r="G967" s="51">
        <v>55</v>
      </c>
      <c r="H967" s="51" t="s">
        <v>1343</v>
      </c>
      <c r="I967" s="26" t="s">
        <v>179</v>
      </c>
    </row>
    <row r="968" spans="1:9" x14ac:dyDescent="0.25">
      <c r="A968" s="49" t="s">
        <v>86</v>
      </c>
      <c r="B968" s="50">
        <v>45714</v>
      </c>
      <c r="C968" s="50">
        <v>45715</v>
      </c>
      <c r="D968" s="50">
        <v>45769</v>
      </c>
      <c r="E968" s="49" t="s">
        <v>1345</v>
      </c>
      <c r="F968" s="49" t="s">
        <v>9</v>
      </c>
      <c r="G968" s="51">
        <v>57</v>
      </c>
      <c r="H968" s="51" t="s">
        <v>1354</v>
      </c>
      <c r="I968" s="26" t="s">
        <v>177</v>
      </c>
    </row>
    <row r="969" spans="1:9" x14ac:dyDescent="0.25">
      <c r="A969" s="49" t="s">
        <v>21</v>
      </c>
      <c r="B969" s="50">
        <v>45714</v>
      </c>
      <c r="C969" s="50">
        <v>45715</v>
      </c>
      <c r="D969" s="50">
        <v>45774</v>
      </c>
      <c r="E969" s="49" t="s">
        <v>1346</v>
      </c>
      <c r="F969" s="49" t="s">
        <v>9</v>
      </c>
      <c r="G969" s="51">
        <v>10</v>
      </c>
      <c r="H969" s="51" t="s">
        <v>1355</v>
      </c>
      <c r="I969" s="26" t="s">
        <v>184</v>
      </c>
    </row>
    <row r="970" spans="1:9" x14ac:dyDescent="0.25">
      <c r="A970" s="49" t="s">
        <v>21</v>
      </c>
      <c r="B970" s="50">
        <v>45714</v>
      </c>
      <c r="C970" s="50">
        <v>45715</v>
      </c>
      <c r="D970" s="50">
        <v>45753</v>
      </c>
      <c r="E970" s="49" t="s">
        <v>1346</v>
      </c>
      <c r="F970" s="49" t="s">
        <v>9</v>
      </c>
      <c r="G970" s="51">
        <v>42</v>
      </c>
      <c r="H970" s="51" t="s">
        <v>1356</v>
      </c>
      <c r="I970" s="26" t="s">
        <v>184</v>
      </c>
    </row>
    <row r="971" spans="1:9" x14ac:dyDescent="0.25">
      <c r="A971" s="49" t="s">
        <v>247</v>
      </c>
      <c r="B971" s="50">
        <v>45714</v>
      </c>
      <c r="C971" s="50">
        <v>45715</v>
      </c>
      <c r="D971" s="50">
        <v>45781</v>
      </c>
      <c r="E971" s="49" t="s">
        <v>1349</v>
      </c>
      <c r="F971" s="49" t="s">
        <v>8</v>
      </c>
      <c r="G971" s="51">
        <v>33</v>
      </c>
      <c r="H971" s="51" t="s">
        <v>1364</v>
      </c>
      <c r="I971" s="26" t="s">
        <v>186</v>
      </c>
    </row>
    <row r="972" spans="1:9" x14ac:dyDescent="0.25">
      <c r="A972" s="49" t="s">
        <v>5</v>
      </c>
      <c r="B972" s="50">
        <v>45715</v>
      </c>
      <c r="C972" s="50">
        <v>45715</v>
      </c>
      <c r="D972" s="50">
        <v>45779</v>
      </c>
      <c r="E972" s="49" t="s">
        <v>1350</v>
      </c>
      <c r="F972" s="49" t="s">
        <v>9</v>
      </c>
      <c r="G972" s="51">
        <v>64</v>
      </c>
      <c r="H972" s="51" t="s">
        <v>1365</v>
      </c>
      <c r="I972" s="26" t="s">
        <v>181</v>
      </c>
    </row>
    <row r="973" spans="1:9" x14ac:dyDescent="0.25">
      <c r="A973" s="49" t="s">
        <v>5</v>
      </c>
      <c r="B973" s="50">
        <v>45715</v>
      </c>
      <c r="C973" s="50">
        <v>45715</v>
      </c>
      <c r="D973" s="50">
        <v>45779</v>
      </c>
      <c r="E973" s="49" t="s">
        <v>1350</v>
      </c>
      <c r="F973" s="49" t="s">
        <v>9</v>
      </c>
      <c r="G973" s="51">
        <v>9</v>
      </c>
      <c r="H973" s="51" t="s">
        <v>1366</v>
      </c>
      <c r="I973" s="26" t="s">
        <v>181</v>
      </c>
    </row>
    <row r="974" spans="1:9" x14ac:dyDescent="0.25">
      <c r="A974" s="49" t="s">
        <v>5</v>
      </c>
      <c r="B974" s="50">
        <v>45716</v>
      </c>
      <c r="C974" s="50">
        <v>45716</v>
      </c>
      <c r="D974" s="50">
        <v>45778</v>
      </c>
      <c r="E974" s="49" t="s">
        <v>1344</v>
      </c>
      <c r="F974" s="49" t="s">
        <v>9</v>
      </c>
      <c r="G974" s="51">
        <v>171</v>
      </c>
      <c r="H974" s="51" t="s">
        <v>1351</v>
      </c>
      <c r="I974" s="26" t="s">
        <v>181</v>
      </c>
    </row>
    <row r="975" spans="1:9" x14ac:dyDescent="0.25">
      <c r="A975" s="49" t="s">
        <v>22</v>
      </c>
      <c r="B975" s="50">
        <v>45716</v>
      </c>
      <c r="C975" s="50">
        <v>45716</v>
      </c>
      <c r="D975" s="50">
        <v>45777</v>
      </c>
      <c r="E975" s="49" t="s">
        <v>390</v>
      </c>
      <c r="F975" s="49" t="s">
        <v>9</v>
      </c>
      <c r="G975" s="51">
        <v>16</v>
      </c>
      <c r="H975" s="51" t="s">
        <v>1357</v>
      </c>
      <c r="I975" s="26" t="s">
        <v>184</v>
      </c>
    </row>
    <row r="976" spans="1:9" x14ac:dyDescent="0.25">
      <c r="A976" s="49" t="s">
        <v>84</v>
      </c>
      <c r="B976" s="50">
        <v>45715</v>
      </c>
      <c r="C976" s="50">
        <v>45716</v>
      </c>
      <c r="D976" s="50">
        <v>45776</v>
      </c>
      <c r="E976" s="49" t="s">
        <v>1347</v>
      </c>
      <c r="F976" s="49" t="s">
        <v>9</v>
      </c>
      <c r="G976" s="51">
        <v>289</v>
      </c>
      <c r="H976" s="51" t="s">
        <v>1358</v>
      </c>
      <c r="I976" s="26" t="s">
        <v>184</v>
      </c>
    </row>
    <row r="977" spans="1:9" x14ac:dyDescent="0.25">
      <c r="A977" s="49" t="s">
        <v>5</v>
      </c>
      <c r="B977" s="50">
        <v>45716</v>
      </c>
      <c r="C977" s="50">
        <v>45716</v>
      </c>
      <c r="D977" s="50">
        <v>45779</v>
      </c>
      <c r="E977" s="49" t="s">
        <v>1348</v>
      </c>
      <c r="F977" s="49" t="s">
        <v>9</v>
      </c>
      <c r="G977" s="51">
        <v>78</v>
      </c>
      <c r="H977" s="51" t="s">
        <v>1359</v>
      </c>
      <c r="I977" s="26" t="s">
        <v>183</v>
      </c>
    </row>
    <row r="978" spans="1:9" x14ac:dyDescent="0.25">
      <c r="A978" s="49" t="s">
        <v>5</v>
      </c>
      <c r="B978" s="50">
        <v>45716</v>
      </c>
      <c r="C978" s="50">
        <v>45716</v>
      </c>
      <c r="D978" s="50">
        <v>45779</v>
      </c>
      <c r="E978" s="49" t="s">
        <v>1348</v>
      </c>
      <c r="F978" s="49" t="s">
        <v>9</v>
      </c>
      <c r="G978" s="51">
        <v>8</v>
      </c>
      <c r="H978" s="51" t="s">
        <v>1360</v>
      </c>
      <c r="I978" s="26" t="s">
        <v>183</v>
      </c>
    </row>
    <row r="979" spans="1:9" x14ac:dyDescent="0.25">
      <c r="A979" s="49" t="s">
        <v>21</v>
      </c>
      <c r="B979" s="50">
        <v>45716</v>
      </c>
      <c r="C979" s="50">
        <v>45716</v>
      </c>
      <c r="D979" s="50">
        <v>45779</v>
      </c>
      <c r="E979" s="49" t="s">
        <v>1348</v>
      </c>
      <c r="F979" s="49" t="s">
        <v>9</v>
      </c>
      <c r="G979" s="51">
        <v>14</v>
      </c>
      <c r="H979" s="51" t="s">
        <v>1361</v>
      </c>
      <c r="I979" s="26" t="s">
        <v>183</v>
      </c>
    </row>
    <row r="980" spans="1:9" x14ac:dyDescent="0.25">
      <c r="A980" s="49" t="s">
        <v>21</v>
      </c>
      <c r="B980" s="50">
        <v>45716</v>
      </c>
      <c r="C980" s="50">
        <v>45716</v>
      </c>
      <c r="D980" s="50">
        <v>45779</v>
      </c>
      <c r="E980" s="49" t="s">
        <v>1348</v>
      </c>
      <c r="F980" s="49" t="s">
        <v>9</v>
      </c>
      <c r="G980" s="51">
        <v>20</v>
      </c>
      <c r="H980" s="51" t="s">
        <v>1362</v>
      </c>
      <c r="I980" s="26" t="s">
        <v>183</v>
      </c>
    </row>
    <row r="981" spans="1:9" x14ac:dyDescent="0.25">
      <c r="A981" s="49" t="s">
        <v>5</v>
      </c>
      <c r="B981" s="50">
        <v>45715</v>
      </c>
      <c r="C981" s="50">
        <v>45716</v>
      </c>
      <c r="D981" s="50">
        <v>45777</v>
      </c>
      <c r="E981" s="49" t="s">
        <v>1108</v>
      </c>
      <c r="F981" s="49" t="s">
        <v>8</v>
      </c>
      <c r="G981" s="51">
        <v>48</v>
      </c>
      <c r="H981" s="51" t="s">
        <v>1363</v>
      </c>
      <c r="I981" s="26" t="s">
        <v>179</v>
      </c>
    </row>
    <row r="982" spans="1:9" x14ac:dyDescent="0.25">
      <c r="A982" s="49" t="s">
        <v>5</v>
      </c>
      <c r="B982" s="50">
        <v>45716</v>
      </c>
      <c r="C982" s="50">
        <v>45719</v>
      </c>
      <c r="D982" s="50">
        <v>45778</v>
      </c>
      <c r="E982" s="49" t="s">
        <v>719</v>
      </c>
      <c r="F982" s="49" t="s">
        <v>9</v>
      </c>
      <c r="G982" s="51">
        <v>144</v>
      </c>
      <c r="H982" s="51" t="s">
        <v>1352</v>
      </c>
      <c r="I982" s="26" t="s">
        <v>180</v>
      </c>
    </row>
    <row r="983" spans="1:9" x14ac:dyDescent="0.25">
      <c r="A983" s="49" t="s">
        <v>5</v>
      </c>
      <c r="B983" s="50">
        <v>45716</v>
      </c>
      <c r="C983" s="50">
        <v>45719</v>
      </c>
      <c r="D983" s="50">
        <v>45778</v>
      </c>
      <c r="E983" s="49" t="s">
        <v>719</v>
      </c>
      <c r="F983" s="49" t="s">
        <v>9</v>
      </c>
      <c r="G983" s="51">
        <v>144</v>
      </c>
      <c r="H983" s="51" t="s">
        <v>1353</v>
      </c>
      <c r="I983" s="26" t="s">
        <v>180</v>
      </c>
    </row>
    <row r="984" spans="1:9" x14ac:dyDescent="0.25">
      <c r="A984" s="49" t="s">
        <v>84</v>
      </c>
      <c r="B984" s="50">
        <v>45709</v>
      </c>
      <c r="C984" s="50">
        <v>45719</v>
      </c>
      <c r="D984" s="50">
        <v>45769</v>
      </c>
      <c r="E984" s="49" t="s">
        <v>1167</v>
      </c>
      <c r="F984" s="49" t="s">
        <v>9</v>
      </c>
      <c r="G984" s="51">
        <v>12</v>
      </c>
      <c r="H984" s="51" t="s">
        <v>1168</v>
      </c>
      <c r="I984" s="26" t="s">
        <v>180</v>
      </c>
    </row>
    <row r="985" spans="1:9" x14ac:dyDescent="0.25">
      <c r="A985" s="49" t="s">
        <v>84</v>
      </c>
      <c r="B985" s="50">
        <v>45709</v>
      </c>
      <c r="C985" s="50">
        <v>45719</v>
      </c>
      <c r="D985" s="50">
        <v>45769</v>
      </c>
      <c r="E985" s="49" t="s">
        <v>1167</v>
      </c>
      <c r="F985" s="49" t="s">
        <v>9</v>
      </c>
      <c r="G985" s="51">
        <v>6</v>
      </c>
      <c r="H985" s="51" t="s">
        <v>1169</v>
      </c>
      <c r="I985" s="26" t="s">
        <v>180</v>
      </c>
    </row>
    <row r="986" spans="1:9" x14ac:dyDescent="0.25">
      <c r="A986" s="49" t="s">
        <v>84</v>
      </c>
      <c r="B986" s="50">
        <v>45716</v>
      </c>
      <c r="C986" s="50">
        <v>45719</v>
      </c>
      <c r="D986" s="50">
        <v>45776</v>
      </c>
      <c r="E986" s="49" t="s">
        <v>1167</v>
      </c>
      <c r="F986" s="49" t="s">
        <v>9</v>
      </c>
      <c r="G986" s="51">
        <v>4</v>
      </c>
      <c r="H986" s="51" t="s">
        <v>1168</v>
      </c>
      <c r="I986" s="26" t="s">
        <v>180</v>
      </c>
    </row>
    <row r="987" spans="1:9" x14ac:dyDescent="0.25">
      <c r="A987" s="49" t="s">
        <v>62</v>
      </c>
      <c r="B987" s="50">
        <v>45709</v>
      </c>
      <c r="C987" s="50">
        <v>45719</v>
      </c>
      <c r="D987" s="50">
        <v>45769</v>
      </c>
      <c r="E987" s="49" t="s">
        <v>1167</v>
      </c>
      <c r="F987" s="49" t="s">
        <v>9</v>
      </c>
      <c r="G987" s="51">
        <v>8</v>
      </c>
      <c r="H987" s="51" t="s">
        <v>1172</v>
      </c>
      <c r="I987" s="26" t="s">
        <v>180</v>
      </c>
    </row>
    <row r="988" spans="1:9" x14ac:dyDescent="0.25">
      <c r="A988" s="49" t="s">
        <v>62</v>
      </c>
      <c r="B988" s="50">
        <v>45716</v>
      </c>
      <c r="C988" s="50">
        <v>45719</v>
      </c>
      <c r="D988" s="50">
        <v>45776</v>
      </c>
      <c r="E988" s="49" t="s">
        <v>1167</v>
      </c>
      <c r="F988" s="49" t="s">
        <v>9</v>
      </c>
      <c r="G988" s="51">
        <v>2</v>
      </c>
      <c r="H988" s="51" t="s">
        <v>1172</v>
      </c>
      <c r="I988" s="26" t="s">
        <v>180</v>
      </c>
    </row>
    <row r="989" spans="1:9" x14ac:dyDescent="0.25">
      <c r="A989" s="49" t="s">
        <v>7</v>
      </c>
      <c r="B989" s="50">
        <v>45720</v>
      </c>
      <c r="C989" s="50">
        <v>45720</v>
      </c>
      <c r="D989" s="50">
        <v>45780</v>
      </c>
      <c r="E989" s="49" t="s">
        <v>1367</v>
      </c>
      <c r="F989" s="49" t="s">
        <v>8</v>
      </c>
      <c r="G989" s="51">
        <v>5</v>
      </c>
      <c r="H989" s="51" t="s">
        <v>1368</v>
      </c>
      <c r="I989" s="26" t="s">
        <v>188</v>
      </c>
    </row>
    <row r="990" spans="1:9" x14ac:dyDescent="0.25">
      <c r="A990" s="49" t="s">
        <v>165</v>
      </c>
      <c r="B990" s="50">
        <v>45720</v>
      </c>
      <c r="C990" s="50">
        <v>45720</v>
      </c>
      <c r="D990" s="50">
        <v>45780</v>
      </c>
      <c r="E990" s="49" t="s">
        <v>1367</v>
      </c>
      <c r="F990" s="49" t="s">
        <v>8</v>
      </c>
      <c r="G990" s="51">
        <v>4</v>
      </c>
      <c r="H990" s="51" t="s">
        <v>1369</v>
      </c>
      <c r="I990" s="26" t="s">
        <v>188</v>
      </c>
    </row>
    <row r="991" spans="1:9" x14ac:dyDescent="0.25">
      <c r="A991" s="49" t="s">
        <v>114</v>
      </c>
      <c r="B991" s="50">
        <v>45720</v>
      </c>
      <c r="C991" s="50">
        <v>45720</v>
      </c>
      <c r="D991" s="50">
        <v>45780</v>
      </c>
      <c r="E991" s="49" t="s">
        <v>1367</v>
      </c>
      <c r="F991" s="49" t="s">
        <v>8</v>
      </c>
      <c r="G991" s="51">
        <v>7</v>
      </c>
      <c r="H991" s="51" t="s">
        <v>1370</v>
      </c>
      <c r="I991" s="26" t="s">
        <v>188</v>
      </c>
    </row>
    <row r="992" spans="1:9" x14ac:dyDescent="0.25">
      <c r="A992" s="49" t="s">
        <v>114</v>
      </c>
      <c r="B992" s="50">
        <v>45720</v>
      </c>
      <c r="C992" s="50">
        <v>45720</v>
      </c>
      <c r="D992" s="50">
        <v>45780</v>
      </c>
      <c r="E992" s="49" t="s">
        <v>1367</v>
      </c>
      <c r="F992" s="49" t="s">
        <v>8</v>
      </c>
      <c r="G992" s="51">
        <v>1</v>
      </c>
      <c r="H992" s="51" t="s">
        <v>1371</v>
      </c>
      <c r="I992" s="26" t="s">
        <v>188</v>
      </c>
    </row>
    <row r="993" spans="1:9" x14ac:dyDescent="0.25">
      <c r="A993" s="49" t="s">
        <v>114</v>
      </c>
      <c r="B993" s="50">
        <v>45720</v>
      </c>
      <c r="C993" s="50">
        <v>45720</v>
      </c>
      <c r="D993" s="50">
        <v>45780</v>
      </c>
      <c r="E993" s="49" t="s">
        <v>1367</v>
      </c>
      <c r="F993" s="49" t="s">
        <v>8</v>
      </c>
      <c r="G993" s="51">
        <v>9</v>
      </c>
      <c r="H993" s="51" t="s">
        <v>1372</v>
      </c>
      <c r="I993" s="26" t="s">
        <v>188</v>
      </c>
    </row>
    <row r="994" spans="1:9" x14ac:dyDescent="0.25">
      <c r="A994" s="49" t="s">
        <v>114</v>
      </c>
      <c r="B994" s="50">
        <v>45720</v>
      </c>
      <c r="C994" s="50">
        <v>45720</v>
      </c>
      <c r="D994" s="50">
        <v>45780</v>
      </c>
      <c r="E994" s="49" t="s">
        <v>1367</v>
      </c>
      <c r="F994" s="49" t="s">
        <v>8</v>
      </c>
      <c r="G994" s="51">
        <v>14</v>
      </c>
      <c r="H994" s="51" t="s">
        <v>1373</v>
      </c>
      <c r="I994" s="26" t="s">
        <v>188</v>
      </c>
    </row>
    <row r="995" spans="1:9" x14ac:dyDescent="0.25">
      <c r="A995" s="49" t="s">
        <v>114</v>
      </c>
      <c r="B995" s="50">
        <v>45720</v>
      </c>
      <c r="C995" s="50">
        <v>45720</v>
      </c>
      <c r="D995" s="50">
        <v>45780</v>
      </c>
      <c r="E995" s="49" t="s">
        <v>1367</v>
      </c>
      <c r="F995" s="49" t="s">
        <v>8</v>
      </c>
      <c r="G995" s="51">
        <v>7</v>
      </c>
      <c r="H995" s="51" t="s">
        <v>1374</v>
      </c>
      <c r="I995" s="26" t="s">
        <v>188</v>
      </c>
    </row>
    <row r="996" spans="1:9" x14ac:dyDescent="0.25">
      <c r="A996" s="49" t="s">
        <v>84</v>
      </c>
      <c r="B996" s="50">
        <v>45720</v>
      </c>
      <c r="C996" s="50">
        <v>45720</v>
      </c>
      <c r="D996" s="50">
        <v>45752</v>
      </c>
      <c r="E996" s="49" t="s">
        <v>1375</v>
      </c>
      <c r="F996" s="49" t="s">
        <v>9</v>
      </c>
      <c r="G996" s="51">
        <v>56</v>
      </c>
      <c r="H996" s="51" t="s">
        <v>1376</v>
      </c>
      <c r="I996" s="26" t="s">
        <v>182</v>
      </c>
    </row>
    <row r="997" spans="1:9" x14ac:dyDescent="0.25">
      <c r="A997" s="49" t="s">
        <v>23</v>
      </c>
      <c r="B997" s="50">
        <v>45721</v>
      </c>
      <c r="C997" s="50">
        <v>45721</v>
      </c>
      <c r="D997" s="50">
        <v>45787</v>
      </c>
      <c r="E997" s="49" t="s">
        <v>1377</v>
      </c>
      <c r="F997" s="49" t="s">
        <v>8</v>
      </c>
      <c r="G997" s="51">
        <v>9</v>
      </c>
      <c r="H997" s="51" t="s">
        <v>1378</v>
      </c>
      <c r="I997" s="26" t="s">
        <v>177</v>
      </c>
    </row>
    <row r="998" spans="1:9" x14ac:dyDescent="0.25">
      <c r="A998" s="49" t="s">
        <v>79</v>
      </c>
      <c r="B998" s="50">
        <v>45719</v>
      </c>
      <c r="C998" s="50">
        <v>45721</v>
      </c>
      <c r="D998" s="50">
        <v>45808</v>
      </c>
      <c r="E998" s="49" t="s">
        <v>1379</v>
      </c>
      <c r="F998" s="49" t="s">
        <v>9</v>
      </c>
      <c r="G998" s="51">
        <v>5</v>
      </c>
      <c r="H998" s="51" t="s">
        <v>1380</v>
      </c>
      <c r="I998" s="26" t="s">
        <v>178</v>
      </c>
    </row>
    <row r="999" spans="1:9" x14ac:dyDescent="0.25">
      <c r="A999" s="49" t="s">
        <v>5</v>
      </c>
      <c r="B999" s="50">
        <v>45719</v>
      </c>
      <c r="C999" s="50">
        <v>45721</v>
      </c>
      <c r="D999" s="50">
        <v>45793</v>
      </c>
      <c r="E999" s="49" t="s">
        <v>1381</v>
      </c>
      <c r="F999" s="49" t="s">
        <v>8</v>
      </c>
      <c r="G999" s="51">
        <v>73</v>
      </c>
      <c r="H999" s="51" t="s">
        <v>1382</v>
      </c>
      <c r="I999" s="26" t="s">
        <v>188</v>
      </c>
    </row>
    <row r="1000" spans="1:9" x14ac:dyDescent="0.25">
      <c r="A1000" s="49" t="s">
        <v>62</v>
      </c>
      <c r="B1000" s="50">
        <v>45721</v>
      </c>
      <c r="C1000" s="50">
        <v>45721</v>
      </c>
      <c r="D1000" s="50">
        <v>45794</v>
      </c>
      <c r="E1000" s="49" t="s">
        <v>1377</v>
      </c>
      <c r="F1000" s="49" t="s">
        <v>8</v>
      </c>
      <c r="G1000" s="51">
        <v>13</v>
      </c>
      <c r="H1000" s="51" t="s">
        <v>1383</v>
      </c>
      <c r="I1000" s="26" t="s">
        <v>177</v>
      </c>
    </row>
    <row r="1001" spans="1:9" x14ac:dyDescent="0.25">
      <c r="A1001" s="49" t="s">
        <v>106</v>
      </c>
      <c r="B1001" s="50">
        <v>45716</v>
      </c>
      <c r="C1001" s="50">
        <v>45721</v>
      </c>
      <c r="D1001" s="50">
        <v>45777</v>
      </c>
      <c r="E1001" s="49" t="s">
        <v>1384</v>
      </c>
      <c r="F1001" s="49" t="s">
        <v>9</v>
      </c>
      <c r="G1001" s="51">
        <v>75</v>
      </c>
      <c r="H1001" s="51" t="s">
        <v>1385</v>
      </c>
      <c r="I1001" s="26" t="s">
        <v>180</v>
      </c>
    </row>
    <row r="1002" spans="1:9" x14ac:dyDescent="0.25">
      <c r="A1002" s="49" t="s">
        <v>745</v>
      </c>
      <c r="B1002" s="50">
        <v>45716</v>
      </c>
      <c r="C1002" s="50">
        <v>45721</v>
      </c>
      <c r="D1002" s="50">
        <v>45777</v>
      </c>
      <c r="E1002" s="49" t="s">
        <v>1386</v>
      </c>
      <c r="F1002" s="49" t="s">
        <v>9</v>
      </c>
      <c r="G1002" s="51">
        <v>31</v>
      </c>
      <c r="H1002" s="51" t="s">
        <v>1387</v>
      </c>
      <c r="I1002" s="26" t="s">
        <v>188</v>
      </c>
    </row>
    <row r="1003" spans="1:9" x14ac:dyDescent="0.25">
      <c r="A1003" s="49" t="s">
        <v>6</v>
      </c>
      <c r="B1003" s="50">
        <v>45716</v>
      </c>
      <c r="C1003" s="50">
        <v>45721</v>
      </c>
      <c r="D1003" s="50">
        <v>45777</v>
      </c>
      <c r="E1003" s="49" t="s">
        <v>1386</v>
      </c>
      <c r="F1003" s="49" t="s">
        <v>9</v>
      </c>
      <c r="G1003" s="51">
        <v>42</v>
      </c>
      <c r="H1003" s="51" t="s">
        <v>1388</v>
      </c>
      <c r="I1003" s="26" t="s">
        <v>188</v>
      </c>
    </row>
    <row r="1004" spans="1:9" x14ac:dyDescent="0.25">
      <c r="A1004" s="49" t="s">
        <v>6</v>
      </c>
      <c r="B1004" s="50">
        <v>45716</v>
      </c>
      <c r="C1004" s="50">
        <v>45721</v>
      </c>
      <c r="D1004" s="50">
        <v>45716</v>
      </c>
      <c r="E1004" s="49" t="s">
        <v>1389</v>
      </c>
      <c r="F1004" s="49" t="s">
        <v>9</v>
      </c>
      <c r="G1004" s="51">
        <v>61</v>
      </c>
      <c r="H1004" s="51" t="s">
        <v>1390</v>
      </c>
      <c r="I1004" s="26" t="s">
        <v>188</v>
      </c>
    </row>
    <row r="1005" spans="1:9" x14ac:dyDescent="0.25">
      <c r="A1005" s="49" t="s">
        <v>114</v>
      </c>
      <c r="B1005" s="50">
        <v>45719</v>
      </c>
      <c r="C1005" s="50">
        <v>45721</v>
      </c>
      <c r="D1005" s="50">
        <v>45781</v>
      </c>
      <c r="E1005" s="49" t="s">
        <v>1391</v>
      </c>
      <c r="F1005" s="49" t="s">
        <v>8</v>
      </c>
      <c r="G1005" s="51">
        <v>69</v>
      </c>
      <c r="H1005" s="51" t="s">
        <v>1392</v>
      </c>
      <c r="I1005" s="26" t="s">
        <v>178</v>
      </c>
    </row>
    <row r="1006" spans="1:9" x14ac:dyDescent="0.25">
      <c r="A1006" s="49" t="s">
        <v>5</v>
      </c>
      <c r="B1006" s="50">
        <v>45721</v>
      </c>
      <c r="C1006" s="50">
        <v>45722</v>
      </c>
      <c r="D1006" s="50">
        <v>45782</v>
      </c>
      <c r="E1006" s="49" t="s">
        <v>1377</v>
      </c>
      <c r="F1006" s="49" t="s">
        <v>8</v>
      </c>
      <c r="G1006" s="51">
        <v>16</v>
      </c>
      <c r="H1006" s="51" t="s">
        <v>1393</v>
      </c>
      <c r="I1006" s="26" t="s">
        <v>177</v>
      </c>
    </row>
    <row r="1007" spans="1:9" x14ac:dyDescent="0.25">
      <c r="A1007" s="49" t="s">
        <v>745</v>
      </c>
      <c r="B1007" s="50">
        <v>45722</v>
      </c>
      <c r="C1007" s="50">
        <v>45723</v>
      </c>
      <c r="D1007" s="50">
        <v>45783</v>
      </c>
      <c r="E1007" s="49" t="s">
        <v>1394</v>
      </c>
      <c r="F1007" s="49" t="s">
        <v>9</v>
      </c>
      <c r="G1007" s="51">
        <v>31</v>
      </c>
      <c r="H1007" s="51" t="s">
        <v>1395</v>
      </c>
      <c r="I1007" s="26" t="s">
        <v>186</v>
      </c>
    </row>
    <row r="1008" spans="1:9" x14ac:dyDescent="0.25">
      <c r="A1008" s="49" t="s">
        <v>6</v>
      </c>
      <c r="B1008" s="50">
        <v>45722</v>
      </c>
      <c r="C1008" s="50">
        <v>45723</v>
      </c>
      <c r="D1008" s="50">
        <v>45783</v>
      </c>
      <c r="E1008" s="49" t="s">
        <v>1394</v>
      </c>
      <c r="F1008" s="49" t="s">
        <v>9</v>
      </c>
      <c r="G1008" s="51">
        <v>55</v>
      </c>
      <c r="H1008" s="51" t="s">
        <v>1396</v>
      </c>
      <c r="I1008" s="26" t="s">
        <v>186</v>
      </c>
    </row>
    <row r="1009" spans="1:9" x14ac:dyDescent="0.25">
      <c r="A1009" s="49" t="s">
        <v>1397</v>
      </c>
      <c r="B1009" s="50">
        <v>45723</v>
      </c>
      <c r="C1009" s="50">
        <v>45723</v>
      </c>
      <c r="D1009" s="50">
        <v>45786</v>
      </c>
      <c r="E1009" s="49" t="s">
        <v>1398</v>
      </c>
      <c r="F1009" s="49" t="s">
        <v>9</v>
      </c>
      <c r="G1009" s="51">
        <v>63</v>
      </c>
      <c r="H1009" s="51" t="s">
        <v>1399</v>
      </c>
      <c r="I1009" s="26" t="s">
        <v>177</v>
      </c>
    </row>
    <row r="1010" spans="1:9" x14ac:dyDescent="0.25">
      <c r="A1010" s="49" t="s">
        <v>1397</v>
      </c>
      <c r="B1010" s="50">
        <v>45723</v>
      </c>
      <c r="C1010" s="50">
        <v>45723</v>
      </c>
      <c r="D1010" s="50">
        <v>45786</v>
      </c>
      <c r="E1010" s="49" t="s">
        <v>1398</v>
      </c>
      <c r="F1010" s="49" t="s">
        <v>9</v>
      </c>
      <c r="G1010" s="51">
        <v>5</v>
      </c>
      <c r="H1010" s="51" t="s">
        <v>1400</v>
      </c>
      <c r="I1010" s="26" t="s">
        <v>177</v>
      </c>
    </row>
    <row r="1011" spans="1:9" x14ac:dyDescent="0.25">
      <c r="A1011" s="49" t="s">
        <v>1397</v>
      </c>
      <c r="B1011" s="50">
        <v>45723</v>
      </c>
      <c r="C1011" s="50">
        <v>45723</v>
      </c>
      <c r="D1011" s="50">
        <v>45786</v>
      </c>
      <c r="E1011" s="49" t="s">
        <v>1398</v>
      </c>
      <c r="F1011" s="49" t="s">
        <v>9</v>
      </c>
      <c r="G1011" s="51">
        <v>11</v>
      </c>
      <c r="H1011" s="51" t="s">
        <v>1401</v>
      </c>
      <c r="I1011" s="26" t="s">
        <v>177</v>
      </c>
    </row>
    <row r="1012" spans="1:9" x14ac:dyDescent="0.25">
      <c r="A1012" s="49" t="s">
        <v>1397</v>
      </c>
      <c r="B1012" s="50">
        <v>45723</v>
      </c>
      <c r="C1012" s="50">
        <v>45723</v>
      </c>
      <c r="D1012" s="50">
        <v>45786</v>
      </c>
      <c r="E1012" s="49" t="s">
        <v>1398</v>
      </c>
      <c r="F1012" s="49" t="s">
        <v>9</v>
      </c>
      <c r="G1012" s="51">
        <v>5</v>
      </c>
      <c r="H1012" s="51" t="s">
        <v>1402</v>
      </c>
      <c r="I1012" s="26" t="s">
        <v>177</v>
      </c>
    </row>
    <row r="1013" spans="1:9" x14ac:dyDescent="0.25">
      <c r="A1013" s="49" t="s">
        <v>21</v>
      </c>
      <c r="B1013" s="50">
        <v>45714</v>
      </c>
      <c r="C1013" s="50">
        <v>45727</v>
      </c>
      <c r="D1013" s="50">
        <v>45774</v>
      </c>
      <c r="E1013" s="49" t="s">
        <v>1403</v>
      </c>
      <c r="F1013" s="49" t="s">
        <v>8</v>
      </c>
      <c r="G1013" s="51">
        <v>175</v>
      </c>
      <c r="H1013" s="51" t="s">
        <v>1404</v>
      </c>
      <c r="I1013" s="26" t="s">
        <v>178</v>
      </c>
    </row>
    <row r="1014" spans="1:9" x14ac:dyDescent="0.25">
      <c r="A1014" s="49" t="s">
        <v>5</v>
      </c>
      <c r="B1014" s="50">
        <v>45716</v>
      </c>
      <c r="C1014" s="50">
        <v>45727</v>
      </c>
      <c r="D1014" s="50">
        <v>45776</v>
      </c>
      <c r="E1014" s="49" t="s">
        <v>1405</v>
      </c>
      <c r="F1014" s="49" t="s">
        <v>8</v>
      </c>
      <c r="G1014" s="51">
        <v>13</v>
      </c>
      <c r="H1014" s="51" t="s">
        <v>1406</v>
      </c>
      <c r="I1014" s="26" t="s">
        <v>177</v>
      </c>
    </row>
    <row r="1015" spans="1:9" x14ac:dyDescent="0.25">
      <c r="A1015" s="49" t="s">
        <v>84</v>
      </c>
      <c r="B1015" s="50">
        <v>45728</v>
      </c>
      <c r="C1015" s="50">
        <v>45728</v>
      </c>
      <c r="D1015" s="50">
        <v>45790</v>
      </c>
      <c r="E1015" s="49" t="s">
        <v>1407</v>
      </c>
      <c r="F1015" s="49" t="s">
        <v>9</v>
      </c>
      <c r="G1015" s="51">
        <v>835</v>
      </c>
      <c r="H1015" s="51" t="s">
        <v>1408</v>
      </c>
      <c r="I1015" s="26" t="s">
        <v>190</v>
      </c>
    </row>
    <row r="1016" spans="1:9" x14ac:dyDescent="0.25">
      <c r="A1016" s="49" t="s">
        <v>86</v>
      </c>
      <c r="B1016" s="50">
        <v>45728</v>
      </c>
      <c r="C1016" s="50">
        <v>45728</v>
      </c>
      <c r="D1016" s="50">
        <v>45794</v>
      </c>
      <c r="E1016" s="49" t="s">
        <v>1409</v>
      </c>
      <c r="F1016" s="49" t="s">
        <v>8</v>
      </c>
      <c r="G1016" s="51">
        <v>82</v>
      </c>
      <c r="H1016" s="51" t="s">
        <v>1410</v>
      </c>
      <c r="I1016" s="26" t="s">
        <v>179</v>
      </c>
    </row>
    <row r="1017" spans="1:9" x14ac:dyDescent="0.25">
      <c r="A1017" s="49" t="s">
        <v>106</v>
      </c>
      <c r="B1017" s="50">
        <v>45727</v>
      </c>
      <c r="C1017" s="50">
        <v>45728</v>
      </c>
      <c r="D1017" s="50">
        <v>45787</v>
      </c>
      <c r="E1017" s="49" t="s">
        <v>54</v>
      </c>
      <c r="F1017" s="49" t="s">
        <v>9</v>
      </c>
      <c r="G1017" s="51">
        <v>6</v>
      </c>
      <c r="H1017" s="51" t="s">
        <v>1411</v>
      </c>
      <c r="I1017" s="26" t="s">
        <v>177</v>
      </c>
    </row>
    <row r="1018" spans="1:9" x14ac:dyDescent="0.25">
      <c r="A1018" s="49" t="s">
        <v>62</v>
      </c>
      <c r="B1018" s="50">
        <v>45728</v>
      </c>
      <c r="C1018" s="50">
        <v>45728</v>
      </c>
      <c r="D1018" s="50">
        <v>45788</v>
      </c>
      <c r="E1018" s="49" t="s">
        <v>1412</v>
      </c>
      <c r="F1018" s="49" t="s">
        <v>9</v>
      </c>
      <c r="G1018" s="51">
        <v>51</v>
      </c>
      <c r="H1018" s="51" t="s">
        <v>1413</v>
      </c>
      <c r="I1018" s="26" t="s">
        <v>178</v>
      </c>
    </row>
    <row r="1019" spans="1:9" x14ac:dyDescent="0.25">
      <c r="A1019" s="26" t="s">
        <v>5</v>
      </c>
      <c r="B1019" s="31">
        <v>45728</v>
      </c>
      <c r="C1019" s="31">
        <v>45729</v>
      </c>
      <c r="D1019" s="31">
        <v>45801</v>
      </c>
      <c r="E1019" s="26" t="s">
        <v>1405</v>
      </c>
      <c r="F1019" s="26" t="s">
        <v>8</v>
      </c>
      <c r="G1019" s="27">
        <v>9</v>
      </c>
      <c r="H1019" s="27" t="s">
        <v>1414</v>
      </c>
      <c r="I1019" s="26" t="s">
        <v>177</v>
      </c>
    </row>
    <row r="1020" spans="1:9" x14ac:dyDescent="0.25">
      <c r="A1020" s="26" t="s">
        <v>5</v>
      </c>
      <c r="B1020" s="31">
        <v>45728</v>
      </c>
      <c r="C1020" s="31">
        <v>45729</v>
      </c>
      <c r="D1020" s="31">
        <v>45801</v>
      </c>
      <c r="E1020" s="26" t="s">
        <v>1405</v>
      </c>
      <c r="F1020" s="26" t="s">
        <v>8</v>
      </c>
      <c r="G1020" s="27">
        <v>2</v>
      </c>
      <c r="H1020" s="27" t="s">
        <v>1415</v>
      </c>
      <c r="I1020" s="26" t="s">
        <v>177</v>
      </c>
    </row>
    <row r="1021" spans="1:9" x14ac:dyDescent="0.25">
      <c r="A1021" s="26" t="s">
        <v>5</v>
      </c>
      <c r="B1021" s="31">
        <v>45728</v>
      </c>
      <c r="C1021" s="31">
        <v>45729</v>
      </c>
      <c r="D1021" s="31">
        <v>45801</v>
      </c>
      <c r="E1021" s="26" t="s">
        <v>1405</v>
      </c>
      <c r="F1021" s="26" t="s">
        <v>8</v>
      </c>
      <c r="G1021" s="27">
        <v>13</v>
      </c>
      <c r="H1021" s="27" t="s">
        <v>1406</v>
      </c>
      <c r="I1021" s="26" t="s">
        <v>177</v>
      </c>
    </row>
    <row r="1022" spans="1:9" x14ac:dyDescent="0.25">
      <c r="A1022" s="26" t="s">
        <v>23</v>
      </c>
      <c r="B1022" s="31">
        <v>45728</v>
      </c>
      <c r="C1022" s="31">
        <v>45729</v>
      </c>
      <c r="D1022" s="31">
        <v>45789</v>
      </c>
      <c r="E1022" s="26" t="s">
        <v>151</v>
      </c>
      <c r="F1022" s="26" t="s">
        <v>9</v>
      </c>
      <c r="G1022" s="27">
        <v>3</v>
      </c>
      <c r="H1022" s="27" t="s">
        <v>152</v>
      </c>
      <c r="I1022" s="26" t="s">
        <v>177</v>
      </c>
    </row>
    <row r="1023" spans="1:9" x14ac:dyDescent="0.25">
      <c r="A1023" s="26" t="s">
        <v>23</v>
      </c>
      <c r="B1023" s="31">
        <v>45728</v>
      </c>
      <c r="C1023" s="31">
        <v>45729</v>
      </c>
      <c r="D1023" s="31">
        <v>45789</v>
      </c>
      <c r="E1023" s="26" t="s">
        <v>151</v>
      </c>
      <c r="F1023" s="26" t="s">
        <v>9</v>
      </c>
      <c r="G1023" s="27">
        <v>6</v>
      </c>
      <c r="H1023" s="27" t="s">
        <v>1416</v>
      </c>
      <c r="I1023" s="26" t="s">
        <v>177</v>
      </c>
    </row>
    <row r="1024" spans="1:9" x14ac:dyDescent="0.25">
      <c r="A1024" s="26" t="s">
        <v>114</v>
      </c>
      <c r="B1024" s="31">
        <v>45728</v>
      </c>
      <c r="C1024" s="31">
        <v>45729</v>
      </c>
      <c r="D1024" s="31">
        <v>45789</v>
      </c>
      <c r="E1024" s="26" t="s">
        <v>151</v>
      </c>
      <c r="F1024" s="26" t="s">
        <v>9</v>
      </c>
      <c r="G1024" s="27">
        <v>7</v>
      </c>
      <c r="H1024" s="27" t="s">
        <v>1417</v>
      </c>
      <c r="I1024" s="26" t="s">
        <v>177</v>
      </c>
    </row>
    <row r="1025" spans="1:9" x14ac:dyDescent="0.25">
      <c r="A1025" s="26" t="s">
        <v>114</v>
      </c>
      <c r="B1025" s="31">
        <v>45728</v>
      </c>
      <c r="C1025" s="31">
        <v>45729</v>
      </c>
      <c r="D1025" s="31">
        <v>45789</v>
      </c>
      <c r="E1025" s="26" t="s">
        <v>151</v>
      </c>
      <c r="F1025" s="26" t="s">
        <v>9</v>
      </c>
      <c r="G1025" s="27">
        <v>33</v>
      </c>
      <c r="H1025" s="27" t="s">
        <v>1418</v>
      </c>
      <c r="I1025" s="26" t="s">
        <v>177</v>
      </c>
    </row>
    <row r="1026" spans="1:9" x14ac:dyDescent="0.25">
      <c r="A1026" s="26" t="s">
        <v>114</v>
      </c>
      <c r="B1026" s="31">
        <v>45728</v>
      </c>
      <c r="C1026" s="31">
        <v>45729</v>
      </c>
      <c r="D1026" s="31">
        <v>45789</v>
      </c>
      <c r="E1026" s="26" t="s">
        <v>151</v>
      </c>
      <c r="F1026" s="26" t="s">
        <v>9</v>
      </c>
      <c r="G1026" s="27">
        <v>8</v>
      </c>
      <c r="H1026" s="27" t="s">
        <v>1419</v>
      </c>
      <c r="I1026" s="26" t="s">
        <v>177</v>
      </c>
    </row>
    <row r="1027" spans="1:9" x14ac:dyDescent="0.25">
      <c r="A1027" s="26" t="s">
        <v>114</v>
      </c>
      <c r="B1027" s="31">
        <v>45728</v>
      </c>
      <c r="C1027" s="31">
        <v>45729</v>
      </c>
      <c r="D1027" s="31">
        <v>45789</v>
      </c>
      <c r="E1027" s="26" t="s">
        <v>151</v>
      </c>
      <c r="F1027" s="26" t="s">
        <v>9</v>
      </c>
      <c r="G1027" s="27">
        <v>5</v>
      </c>
      <c r="H1027" s="27" t="s">
        <v>1420</v>
      </c>
      <c r="I1027" s="26" t="s">
        <v>177</v>
      </c>
    </row>
    <row r="1028" spans="1:9" x14ac:dyDescent="0.25">
      <c r="A1028" s="26" t="s">
        <v>86</v>
      </c>
      <c r="B1028" s="31">
        <v>45729</v>
      </c>
      <c r="C1028" s="31">
        <v>45729</v>
      </c>
      <c r="D1028" s="31">
        <v>45870</v>
      </c>
      <c r="E1028" s="26" t="s">
        <v>1421</v>
      </c>
      <c r="F1028" s="26" t="s">
        <v>9</v>
      </c>
      <c r="G1028" s="27">
        <v>3</v>
      </c>
      <c r="H1028" s="27" t="s">
        <v>1422</v>
      </c>
      <c r="I1028" s="26" t="s">
        <v>184</v>
      </c>
    </row>
    <row r="1029" spans="1:9" x14ac:dyDescent="0.25">
      <c r="A1029" s="26" t="s">
        <v>86</v>
      </c>
      <c r="B1029" s="31">
        <v>45729</v>
      </c>
      <c r="C1029" s="31">
        <v>45729</v>
      </c>
      <c r="D1029" s="31">
        <v>45870</v>
      </c>
      <c r="E1029" s="26" t="s">
        <v>1421</v>
      </c>
      <c r="F1029" s="26" t="s">
        <v>9</v>
      </c>
      <c r="G1029" s="27">
        <v>62</v>
      </c>
      <c r="H1029" s="27" t="s">
        <v>1423</v>
      </c>
      <c r="I1029" s="26" t="s">
        <v>184</v>
      </c>
    </row>
    <row r="1030" spans="1:9" x14ac:dyDescent="0.25">
      <c r="A1030" s="26" t="s">
        <v>62</v>
      </c>
      <c r="B1030" s="31">
        <v>45728</v>
      </c>
      <c r="C1030" s="31">
        <v>45729</v>
      </c>
      <c r="D1030" s="31">
        <v>45789</v>
      </c>
      <c r="E1030" s="26" t="s">
        <v>151</v>
      </c>
      <c r="F1030" s="26" t="s">
        <v>9</v>
      </c>
      <c r="G1030" s="27">
        <v>61</v>
      </c>
      <c r="H1030" s="27" t="s">
        <v>1424</v>
      </c>
      <c r="I1030" s="26" t="s">
        <v>177</v>
      </c>
    </row>
    <row r="1031" spans="1:9" x14ac:dyDescent="0.25">
      <c r="A1031" s="26" t="s">
        <v>62</v>
      </c>
      <c r="B1031" s="31">
        <v>45728</v>
      </c>
      <c r="C1031" s="31">
        <v>45729</v>
      </c>
      <c r="D1031" s="31">
        <v>45789</v>
      </c>
      <c r="E1031" s="26" t="s">
        <v>151</v>
      </c>
      <c r="F1031" s="26" t="s">
        <v>9</v>
      </c>
      <c r="G1031" s="27">
        <v>3</v>
      </c>
      <c r="H1031" s="27" t="s">
        <v>1425</v>
      </c>
      <c r="I1031" s="26" t="s">
        <v>177</v>
      </c>
    </row>
    <row r="1032" spans="1:9" x14ac:dyDescent="0.25">
      <c r="A1032" s="26" t="s">
        <v>62</v>
      </c>
      <c r="B1032" s="31">
        <v>45728</v>
      </c>
      <c r="C1032" s="31">
        <v>45729</v>
      </c>
      <c r="D1032" s="31">
        <v>45789</v>
      </c>
      <c r="E1032" s="26" t="s">
        <v>151</v>
      </c>
      <c r="F1032" s="26" t="s">
        <v>9</v>
      </c>
      <c r="G1032" s="27">
        <v>3</v>
      </c>
      <c r="H1032" s="27" t="s">
        <v>1426</v>
      </c>
      <c r="I1032" s="26" t="s">
        <v>177</v>
      </c>
    </row>
    <row r="1033" spans="1:9" x14ac:dyDescent="0.25">
      <c r="A1033" s="26" t="s">
        <v>62</v>
      </c>
      <c r="B1033" s="31">
        <v>45728</v>
      </c>
      <c r="C1033" s="31">
        <v>45729</v>
      </c>
      <c r="D1033" s="31">
        <v>45789</v>
      </c>
      <c r="E1033" s="26" t="s">
        <v>151</v>
      </c>
      <c r="F1033" s="26" t="s">
        <v>9</v>
      </c>
      <c r="G1033" s="27">
        <v>2</v>
      </c>
      <c r="H1033" s="27" t="s">
        <v>1427</v>
      </c>
      <c r="I1033" s="26" t="s">
        <v>177</v>
      </c>
    </row>
    <row r="1034" spans="1:9" x14ac:dyDescent="0.25">
      <c r="A1034" s="26" t="s">
        <v>62</v>
      </c>
      <c r="B1034" s="31">
        <v>45728</v>
      </c>
      <c r="C1034" s="31">
        <v>45729</v>
      </c>
      <c r="D1034" s="31">
        <v>45789</v>
      </c>
      <c r="E1034" s="26" t="s">
        <v>151</v>
      </c>
      <c r="F1034" s="26" t="s">
        <v>9</v>
      </c>
      <c r="G1034" s="27">
        <v>4</v>
      </c>
      <c r="H1034" s="27" t="s">
        <v>1428</v>
      </c>
      <c r="I1034" s="26" t="s">
        <v>177</v>
      </c>
    </row>
    <row r="1035" spans="1:9" x14ac:dyDescent="0.25">
      <c r="A1035" s="26" t="s">
        <v>62</v>
      </c>
      <c r="B1035" s="31">
        <v>45728</v>
      </c>
      <c r="C1035" s="31">
        <v>45729</v>
      </c>
      <c r="D1035" s="31">
        <v>45789</v>
      </c>
      <c r="E1035" s="26" t="s">
        <v>151</v>
      </c>
      <c r="F1035" s="26" t="s">
        <v>9</v>
      </c>
      <c r="G1035" s="27">
        <v>24</v>
      </c>
      <c r="H1035" s="27" t="s">
        <v>218</v>
      </c>
      <c r="I1035" s="26" t="s">
        <v>177</v>
      </c>
    </row>
    <row r="1036" spans="1:9" x14ac:dyDescent="0.25">
      <c r="A1036" s="26" t="s">
        <v>62</v>
      </c>
      <c r="B1036" s="31">
        <v>45728</v>
      </c>
      <c r="C1036" s="31">
        <v>45729</v>
      </c>
      <c r="D1036" s="31">
        <v>45789</v>
      </c>
      <c r="E1036" s="26" t="s">
        <v>151</v>
      </c>
      <c r="F1036" s="26" t="s">
        <v>9</v>
      </c>
      <c r="G1036" s="27">
        <v>1</v>
      </c>
      <c r="H1036" s="27" t="s">
        <v>217</v>
      </c>
      <c r="I1036" s="26" t="s">
        <v>177</v>
      </c>
    </row>
    <row r="1037" spans="1:9" x14ac:dyDescent="0.25">
      <c r="A1037" s="26" t="s">
        <v>62</v>
      </c>
      <c r="B1037" s="31">
        <v>45728</v>
      </c>
      <c r="C1037" s="31">
        <v>45729</v>
      </c>
      <c r="D1037" s="31">
        <v>45789</v>
      </c>
      <c r="E1037" s="26" t="s">
        <v>151</v>
      </c>
      <c r="F1037" s="26" t="s">
        <v>9</v>
      </c>
      <c r="G1037" s="27">
        <v>7</v>
      </c>
      <c r="H1037" s="27" t="s">
        <v>1429</v>
      </c>
      <c r="I1037" s="26" t="s">
        <v>177</v>
      </c>
    </row>
    <row r="1038" spans="1:9" x14ac:dyDescent="0.25">
      <c r="A1038" s="26" t="s">
        <v>6</v>
      </c>
      <c r="B1038" s="31">
        <v>45728</v>
      </c>
      <c r="C1038" s="31">
        <v>45729</v>
      </c>
      <c r="D1038" s="31">
        <v>45835</v>
      </c>
      <c r="E1038" s="26" t="s">
        <v>59</v>
      </c>
      <c r="F1038" s="26" t="s">
        <v>8</v>
      </c>
      <c r="G1038" s="27">
        <v>34</v>
      </c>
      <c r="H1038" s="27" t="s">
        <v>60</v>
      </c>
      <c r="I1038" s="26" t="s">
        <v>177</v>
      </c>
    </row>
    <row r="1039" spans="1:9" x14ac:dyDescent="0.25">
      <c r="A1039" s="26" t="s">
        <v>79</v>
      </c>
      <c r="B1039" s="31">
        <v>45730</v>
      </c>
      <c r="C1039" s="31">
        <v>45730</v>
      </c>
      <c r="D1039" s="31">
        <v>45842</v>
      </c>
      <c r="E1039" s="26" t="s">
        <v>446</v>
      </c>
      <c r="F1039" s="26" t="s">
        <v>9</v>
      </c>
      <c r="G1039" s="27">
        <v>1</v>
      </c>
      <c r="H1039" s="27" t="s">
        <v>447</v>
      </c>
      <c r="I1039" s="26" t="s">
        <v>184</v>
      </c>
    </row>
    <row r="1040" spans="1:9" x14ac:dyDescent="0.25">
      <c r="A1040" s="26" t="s">
        <v>5</v>
      </c>
      <c r="B1040" s="31">
        <v>45730</v>
      </c>
      <c r="C1040" s="31">
        <v>45730</v>
      </c>
      <c r="D1040" s="31">
        <v>45790</v>
      </c>
      <c r="E1040" s="26" t="s">
        <v>201</v>
      </c>
      <c r="F1040" s="26" t="s">
        <v>9</v>
      </c>
      <c r="G1040" s="27">
        <v>47</v>
      </c>
      <c r="H1040" s="27" t="s">
        <v>1430</v>
      </c>
      <c r="I1040" s="26" t="s">
        <v>181</v>
      </c>
    </row>
    <row r="1041" spans="1:9" x14ac:dyDescent="0.25">
      <c r="A1041" s="26" t="s">
        <v>247</v>
      </c>
      <c r="B1041" s="31">
        <v>45728</v>
      </c>
      <c r="C1041" s="31">
        <v>45730</v>
      </c>
      <c r="D1041" s="31">
        <v>45790</v>
      </c>
      <c r="E1041" s="26" t="s">
        <v>377</v>
      </c>
      <c r="F1041" s="26" t="s">
        <v>8</v>
      </c>
      <c r="G1041" s="27">
        <v>76</v>
      </c>
      <c r="H1041" s="27" t="s">
        <v>1431</v>
      </c>
      <c r="I1041" s="26" t="s">
        <v>179</v>
      </c>
    </row>
    <row r="1042" spans="1:9" x14ac:dyDescent="0.25">
      <c r="A1042" s="26" t="s">
        <v>5</v>
      </c>
      <c r="B1042" s="31">
        <v>45733</v>
      </c>
      <c r="C1042" s="31">
        <v>45733</v>
      </c>
      <c r="D1042" s="31">
        <v>45797</v>
      </c>
      <c r="E1042" s="26" t="s">
        <v>1432</v>
      </c>
      <c r="F1042" s="26" t="s">
        <v>9</v>
      </c>
      <c r="G1042" s="27">
        <v>79</v>
      </c>
      <c r="H1042" s="27" t="s">
        <v>1433</v>
      </c>
      <c r="I1042" s="26" t="s">
        <v>175</v>
      </c>
    </row>
    <row r="1043" spans="1:9" x14ac:dyDescent="0.25">
      <c r="A1043" s="26" t="s">
        <v>5</v>
      </c>
      <c r="B1043" s="31">
        <v>45733</v>
      </c>
      <c r="C1043" s="31">
        <v>45733</v>
      </c>
      <c r="D1043" s="31">
        <v>45796</v>
      </c>
      <c r="E1043" s="26" t="s">
        <v>1434</v>
      </c>
      <c r="F1043" s="26" t="s">
        <v>9</v>
      </c>
      <c r="G1043" s="27">
        <v>120</v>
      </c>
      <c r="H1043" s="27" t="s">
        <v>1435</v>
      </c>
      <c r="I1043" s="26" t="s">
        <v>181</v>
      </c>
    </row>
    <row r="1044" spans="1:9" x14ac:dyDescent="0.25">
      <c r="A1044" s="49" t="s">
        <v>247</v>
      </c>
      <c r="B1044" s="50">
        <v>45734</v>
      </c>
      <c r="C1044" s="50">
        <v>45734</v>
      </c>
      <c r="D1044" s="50">
        <v>45779</v>
      </c>
      <c r="E1044" s="49" t="s">
        <v>1436</v>
      </c>
      <c r="F1044" s="49" t="s">
        <v>9</v>
      </c>
      <c r="G1044" s="51">
        <v>31</v>
      </c>
      <c r="H1044" s="51" t="s">
        <v>1437</v>
      </c>
      <c r="I1044" s="26" t="s">
        <v>177</v>
      </c>
    </row>
    <row r="1045" spans="1:9" x14ac:dyDescent="0.25">
      <c r="A1045" s="49" t="s">
        <v>5</v>
      </c>
      <c r="B1045" s="50">
        <v>45726</v>
      </c>
      <c r="C1045" s="50">
        <v>45735</v>
      </c>
      <c r="D1045" s="50">
        <v>45770</v>
      </c>
      <c r="E1045" s="49" t="s">
        <v>1005</v>
      </c>
      <c r="F1045" s="49" t="s">
        <v>8</v>
      </c>
      <c r="G1045" s="51">
        <v>4</v>
      </c>
      <c r="H1045" s="51" t="s">
        <v>1438</v>
      </c>
      <c r="I1045" s="26" t="s">
        <v>180</v>
      </c>
    </row>
    <row r="1046" spans="1:9" x14ac:dyDescent="0.25">
      <c r="A1046" s="49" t="s">
        <v>84</v>
      </c>
      <c r="B1046" s="50">
        <v>45735</v>
      </c>
      <c r="C1046" s="50">
        <v>45735</v>
      </c>
      <c r="D1046" s="50">
        <v>45795</v>
      </c>
      <c r="E1046" s="49" t="s">
        <v>1167</v>
      </c>
      <c r="F1046" s="49" t="s">
        <v>9</v>
      </c>
      <c r="G1046" s="51">
        <v>13</v>
      </c>
      <c r="H1046" s="51" t="s">
        <v>1169</v>
      </c>
      <c r="I1046" s="26" t="s">
        <v>184</v>
      </c>
    </row>
    <row r="1047" spans="1:9" x14ac:dyDescent="0.25">
      <c r="A1047" s="49" t="s">
        <v>86</v>
      </c>
      <c r="B1047" s="50">
        <v>45734</v>
      </c>
      <c r="C1047" s="50">
        <v>45735</v>
      </c>
      <c r="D1047" s="50">
        <v>45796</v>
      </c>
      <c r="E1047" s="49" t="s">
        <v>1127</v>
      </c>
      <c r="F1047" s="49" t="s">
        <v>8</v>
      </c>
      <c r="G1047" s="51">
        <v>84</v>
      </c>
      <c r="H1047" s="51" t="s">
        <v>1135</v>
      </c>
      <c r="I1047" s="26" t="s">
        <v>184</v>
      </c>
    </row>
    <row r="1048" spans="1:9" x14ac:dyDescent="0.25">
      <c r="A1048" s="49" t="s">
        <v>62</v>
      </c>
      <c r="B1048" s="50">
        <v>45735</v>
      </c>
      <c r="C1048" s="50">
        <v>45735</v>
      </c>
      <c r="D1048" s="50">
        <v>45795</v>
      </c>
      <c r="E1048" s="49" t="s">
        <v>1167</v>
      </c>
      <c r="F1048" s="49" t="s">
        <v>9</v>
      </c>
      <c r="G1048" s="51">
        <v>2</v>
      </c>
      <c r="H1048" s="51" t="s">
        <v>1172</v>
      </c>
      <c r="I1048" s="26" t="s">
        <v>184</v>
      </c>
    </row>
    <row r="1049" spans="1:9" x14ac:dyDescent="0.25">
      <c r="A1049" s="49" t="s">
        <v>5</v>
      </c>
      <c r="B1049" s="50">
        <v>45730</v>
      </c>
      <c r="C1049" s="50">
        <v>45735</v>
      </c>
      <c r="D1049" s="50">
        <v>45789</v>
      </c>
      <c r="E1049" s="49" t="s">
        <v>1439</v>
      </c>
      <c r="F1049" s="49" t="s">
        <v>9</v>
      </c>
      <c r="G1049" s="51">
        <v>8</v>
      </c>
      <c r="H1049" s="51" t="s">
        <v>1440</v>
      </c>
      <c r="I1049" s="26" t="s">
        <v>177</v>
      </c>
    </row>
    <row r="1050" spans="1:9" x14ac:dyDescent="0.25">
      <c r="A1050" s="49" t="s">
        <v>6</v>
      </c>
      <c r="B1050" s="50">
        <v>45730</v>
      </c>
      <c r="C1050" s="50">
        <v>45735</v>
      </c>
      <c r="D1050" s="50">
        <v>45789</v>
      </c>
      <c r="E1050" s="49" t="s">
        <v>1439</v>
      </c>
      <c r="F1050" s="49" t="s">
        <v>9</v>
      </c>
      <c r="G1050" s="51">
        <v>119</v>
      </c>
      <c r="H1050" s="51" t="s">
        <v>1441</v>
      </c>
      <c r="I1050" s="26" t="s">
        <v>177</v>
      </c>
    </row>
    <row r="1051" spans="1:9" x14ac:dyDescent="0.25">
      <c r="A1051" s="49" t="s">
        <v>79</v>
      </c>
      <c r="B1051" s="50">
        <v>45736</v>
      </c>
      <c r="C1051" s="50">
        <v>45736</v>
      </c>
      <c r="D1051" s="50">
        <v>45808</v>
      </c>
      <c r="E1051" s="49" t="s">
        <v>1442</v>
      </c>
      <c r="F1051" s="49" t="s">
        <v>9</v>
      </c>
      <c r="G1051" s="51">
        <v>13</v>
      </c>
      <c r="H1051" s="51" t="s">
        <v>1443</v>
      </c>
      <c r="I1051" s="26" t="s">
        <v>186</v>
      </c>
    </row>
    <row r="1052" spans="1:9" x14ac:dyDescent="0.25">
      <c r="A1052" s="49" t="s">
        <v>5</v>
      </c>
      <c r="B1052" s="50">
        <v>45735</v>
      </c>
      <c r="C1052" s="50">
        <v>45736</v>
      </c>
      <c r="D1052" s="50">
        <v>45807</v>
      </c>
      <c r="E1052" s="49" t="s">
        <v>1444</v>
      </c>
      <c r="F1052" s="49" t="s">
        <v>8</v>
      </c>
      <c r="G1052" s="51">
        <v>15</v>
      </c>
      <c r="H1052" s="51" t="s">
        <v>1445</v>
      </c>
      <c r="I1052" s="26" t="s">
        <v>178</v>
      </c>
    </row>
    <row r="1053" spans="1:9" x14ac:dyDescent="0.25">
      <c r="A1053" s="49" t="s">
        <v>5</v>
      </c>
      <c r="B1053" s="50">
        <v>45736</v>
      </c>
      <c r="C1053" s="50">
        <v>45736</v>
      </c>
      <c r="D1053" s="50">
        <v>45796</v>
      </c>
      <c r="E1053" s="49" t="s">
        <v>1405</v>
      </c>
      <c r="F1053" s="49" t="s">
        <v>8</v>
      </c>
      <c r="G1053" s="51">
        <v>13</v>
      </c>
      <c r="H1053" s="51" t="s">
        <v>1414</v>
      </c>
      <c r="I1053" s="26" t="s">
        <v>177</v>
      </c>
    </row>
    <row r="1054" spans="1:9" x14ac:dyDescent="0.25">
      <c r="A1054" s="49" t="s">
        <v>5</v>
      </c>
      <c r="B1054" s="50">
        <v>45736</v>
      </c>
      <c r="C1054" s="50">
        <v>45736</v>
      </c>
      <c r="D1054" s="50">
        <v>45796</v>
      </c>
      <c r="E1054" s="49" t="s">
        <v>1405</v>
      </c>
      <c r="F1054" s="49" t="s">
        <v>8</v>
      </c>
      <c r="G1054" s="51">
        <v>44</v>
      </c>
      <c r="H1054" s="51" t="s">
        <v>1415</v>
      </c>
      <c r="I1054" s="26" t="s">
        <v>177</v>
      </c>
    </row>
    <row r="1055" spans="1:9" x14ac:dyDescent="0.25">
      <c r="A1055" s="49" t="s">
        <v>5</v>
      </c>
      <c r="B1055" s="50">
        <v>45736</v>
      </c>
      <c r="C1055" s="50">
        <v>45736</v>
      </c>
      <c r="D1055" s="50">
        <v>45796</v>
      </c>
      <c r="E1055" s="49" t="s">
        <v>1405</v>
      </c>
      <c r="F1055" s="49" t="s">
        <v>8</v>
      </c>
      <c r="G1055" s="51">
        <v>2</v>
      </c>
      <c r="H1055" s="51" t="s">
        <v>1406</v>
      </c>
      <c r="I1055" s="26" t="s">
        <v>177</v>
      </c>
    </row>
    <row r="1056" spans="1:9" x14ac:dyDescent="0.25">
      <c r="A1056" s="49" t="s">
        <v>84</v>
      </c>
      <c r="B1056" s="50">
        <v>45736</v>
      </c>
      <c r="C1056" s="50">
        <v>45736</v>
      </c>
      <c r="D1056" s="50">
        <v>45797</v>
      </c>
      <c r="E1056" s="49" t="s">
        <v>1446</v>
      </c>
      <c r="F1056" s="49" t="s">
        <v>9</v>
      </c>
      <c r="G1056" s="51">
        <v>68</v>
      </c>
      <c r="H1056" s="51" t="s">
        <v>1447</v>
      </c>
      <c r="I1056" s="26" t="s">
        <v>184</v>
      </c>
    </row>
    <row r="1057" spans="1:9" x14ac:dyDescent="0.25">
      <c r="A1057" s="49" t="s">
        <v>5</v>
      </c>
      <c r="B1057" s="50">
        <v>45736</v>
      </c>
      <c r="C1057" s="50">
        <v>45737</v>
      </c>
      <c r="D1057" s="50">
        <v>45744</v>
      </c>
      <c r="E1057" s="49" t="s">
        <v>1448</v>
      </c>
      <c r="F1057" s="49" t="s">
        <v>8</v>
      </c>
      <c r="G1057" s="51">
        <v>126</v>
      </c>
      <c r="H1057" s="51" t="s">
        <v>1449</v>
      </c>
      <c r="I1057" s="26" t="s">
        <v>190</v>
      </c>
    </row>
    <row r="1058" spans="1:9" x14ac:dyDescent="0.25">
      <c r="A1058" s="49" t="s">
        <v>62</v>
      </c>
      <c r="B1058" s="50">
        <v>45737</v>
      </c>
      <c r="C1058" s="50">
        <v>45737</v>
      </c>
      <c r="D1058" s="50">
        <v>45737</v>
      </c>
      <c r="E1058" s="49" t="s">
        <v>261</v>
      </c>
      <c r="F1058" s="49" t="s">
        <v>9</v>
      </c>
      <c r="G1058" s="51">
        <v>97</v>
      </c>
      <c r="H1058" s="51" t="s">
        <v>266</v>
      </c>
      <c r="I1058" s="26" t="s">
        <v>181</v>
      </c>
    </row>
    <row r="1059" spans="1:9" x14ac:dyDescent="0.25">
      <c r="A1059" s="49" t="s">
        <v>292</v>
      </c>
      <c r="B1059" s="50">
        <v>45740</v>
      </c>
      <c r="C1059" s="50">
        <v>45741</v>
      </c>
      <c r="D1059" s="50">
        <v>45800</v>
      </c>
      <c r="E1059" s="49" t="s">
        <v>480</v>
      </c>
      <c r="F1059" s="49" t="s">
        <v>9</v>
      </c>
      <c r="G1059" s="51">
        <v>14</v>
      </c>
      <c r="H1059" s="51" t="s">
        <v>1450</v>
      </c>
      <c r="I1059" s="26" t="s">
        <v>174</v>
      </c>
    </row>
    <row r="1060" spans="1:9" x14ac:dyDescent="0.25">
      <c r="A1060" s="49" t="s">
        <v>23</v>
      </c>
      <c r="B1060" s="50">
        <v>45674</v>
      </c>
      <c r="C1060" s="50">
        <v>45741</v>
      </c>
      <c r="D1060" s="50">
        <v>45734</v>
      </c>
      <c r="E1060" s="49" t="s">
        <v>1451</v>
      </c>
      <c r="F1060" s="49" t="s">
        <v>9</v>
      </c>
      <c r="G1060" s="51">
        <v>57</v>
      </c>
      <c r="H1060" s="51" t="s">
        <v>1452</v>
      </c>
      <c r="I1060" s="26" t="s">
        <v>190</v>
      </c>
    </row>
    <row r="1061" spans="1:9" x14ac:dyDescent="0.25">
      <c r="A1061" s="49" t="s">
        <v>62</v>
      </c>
      <c r="B1061" s="50">
        <v>45740</v>
      </c>
      <c r="C1061" s="50">
        <v>45741</v>
      </c>
      <c r="D1061" s="50">
        <v>45777</v>
      </c>
      <c r="E1061" s="49" t="s">
        <v>1453</v>
      </c>
      <c r="F1061" s="49" t="s">
        <v>8</v>
      </c>
      <c r="G1061" s="51">
        <v>17</v>
      </c>
      <c r="H1061" s="51" t="s">
        <v>1454</v>
      </c>
      <c r="I1061" s="26" t="s">
        <v>180</v>
      </c>
    </row>
    <row r="1062" spans="1:9" x14ac:dyDescent="0.25">
      <c r="A1062" s="49" t="s">
        <v>861</v>
      </c>
      <c r="B1062" s="50">
        <v>45720</v>
      </c>
      <c r="C1062" s="50">
        <v>45741</v>
      </c>
      <c r="D1062" s="50">
        <v>45781</v>
      </c>
      <c r="E1062" s="49" t="s">
        <v>629</v>
      </c>
      <c r="F1062" s="49" t="s">
        <v>9</v>
      </c>
      <c r="G1062" s="51">
        <v>50</v>
      </c>
      <c r="H1062" s="51" t="s">
        <v>1455</v>
      </c>
      <c r="I1062" s="26" t="s">
        <v>190</v>
      </c>
    </row>
    <row r="1063" spans="1:9" x14ac:dyDescent="0.25">
      <c r="A1063" s="49" t="s">
        <v>5</v>
      </c>
      <c r="B1063" s="50">
        <v>45741</v>
      </c>
      <c r="C1063" s="50">
        <v>45742</v>
      </c>
      <c r="D1063" s="50">
        <v>45807</v>
      </c>
      <c r="E1063" s="49" t="s">
        <v>1456</v>
      </c>
      <c r="F1063" s="49" t="s">
        <v>8</v>
      </c>
      <c r="G1063" s="51">
        <v>49</v>
      </c>
      <c r="H1063" s="51" t="s">
        <v>1457</v>
      </c>
      <c r="I1063" s="26" t="s">
        <v>187</v>
      </c>
    </row>
    <row r="1064" spans="1:9" x14ac:dyDescent="0.25">
      <c r="A1064" s="49" t="s">
        <v>5</v>
      </c>
      <c r="B1064" s="50">
        <v>45742</v>
      </c>
      <c r="C1064" s="50">
        <v>45742</v>
      </c>
      <c r="D1064" s="50">
        <v>45839</v>
      </c>
      <c r="E1064" s="49" t="s">
        <v>1377</v>
      </c>
      <c r="F1064" s="49" t="s">
        <v>9</v>
      </c>
      <c r="G1064" s="51">
        <v>1</v>
      </c>
      <c r="H1064" s="51" t="s">
        <v>1458</v>
      </c>
      <c r="I1064" s="26" t="s">
        <v>190</v>
      </c>
    </row>
    <row r="1065" spans="1:9" x14ac:dyDescent="0.25">
      <c r="A1065" s="49" t="s">
        <v>21</v>
      </c>
      <c r="B1065" s="50">
        <v>45742</v>
      </c>
      <c r="C1065" s="50">
        <v>45742</v>
      </c>
      <c r="D1065" s="50">
        <v>45839</v>
      </c>
      <c r="E1065" s="49" t="s">
        <v>1377</v>
      </c>
      <c r="F1065" s="49" t="s">
        <v>9</v>
      </c>
      <c r="G1065" s="51">
        <v>1</v>
      </c>
      <c r="H1065" s="51" t="s">
        <v>1459</v>
      </c>
      <c r="I1065" s="26" t="s">
        <v>190</v>
      </c>
    </row>
    <row r="1066" spans="1:9" x14ac:dyDescent="0.25">
      <c r="A1066" s="49" t="s">
        <v>106</v>
      </c>
      <c r="B1066" s="50">
        <v>45741</v>
      </c>
      <c r="C1066" s="50">
        <v>45742</v>
      </c>
      <c r="D1066" s="50">
        <v>45819</v>
      </c>
      <c r="E1066" s="49" t="s">
        <v>1460</v>
      </c>
      <c r="F1066" s="49" t="s">
        <v>8</v>
      </c>
      <c r="G1066" s="51">
        <v>109</v>
      </c>
      <c r="H1066" s="51" t="s">
        <v>1461</v>
      </c>
      <c r="I1066" s="26" t="s">
        <v>180</v>
      </c>
    </row>
    <row r="1067" spans="1:9" x14ac:dyDescent="0.25">
      <c r="A1067" s="49" t="s">
        <v>106</v>
      </c>
      <c r="B1067" s="50">
        <v>45742</v>
      </c>
      <c r="C1067" s="50">
        <v>45742</v>
      </c>
      <c r="D1067" s="50">
        <v>45839</v>
      </c>
      <c r="E1067" s="49" t="s">
        <v>1377</v>
      </c>
      <c r="F1067" s="49" t="s">
        <v>9</v>
      </c>
      <c r="G1067" s="51">
        <v>2</v>
      </c>
      <c r="H1067" s="51" t="s">
        <v>1462</v>
      </c>
      <c r="I1067" s="26" t="s">
        <v>190</v>
      </c>
    </row>
    <row r="1068" spans="1:9" x14ac:dyDescent="0.25">
      <c r="A1068" s="49" t="s">
        <v>165</v>
      </c>
      <c r="B1068" s="50">
        <v>45740</v>
      </c>
      <c r="C1068" s="50">
        <v>45742</v>
      </c>
      <c r="D1068" s="50">
        <v>45796</v>
      </c>
      <c r="E1068" s="49" t="s">
        <v>1463</v>
      </c>
      <c r="F1068" s="49" t="s">
        <v>9</v>
      </c>
      <c r="G1068" s="51">
        <v>58</v>
      </c>
      <c r="H1068" s="51" t="s">
        <v>1464</v>
      </c>
      <c r="I1068" s="26" t="s">
        <v>178</v>
      </c>
    </row>
    <row r="1069" spans="1:9" x14ac:dyDescent="0.25">
      <c r="A1069" s="49" t="s">
        <v>62</v>
      </c>
      <c r="B1069" s="50">
        <v>45740</v>
      </c>
      <c r="C1069" s="50">
        <v>45742</v>
      </c>
      <c r="D1069" s="50">
        <v>45796</v>
      </c>
      <c r="E1069" s="49" t="s">
        <v>1463</v>
      </c>
      <c r="F1069" s="49" t="s">
        <v>9</v>
      </c>
      <c r="G1069" s="51">
        <v>33</v>
      </c>
      <c r="H1069" s="51" t="s">
        <v>1465</v>
      </c>
      <c r="I1069" s="26" t="s">
        <v>178</v>
      </c>
    </row>
    <row r="1070" spans="1:9" x14ac:dyDescent="0.25">
      <c r="A1070" s="49" t="s">
        <v>5</v>
      </c>
      <c r="B1070" s="50">
        <v>45742</v>
      </c>
      <c r="C1070" s="50">
        <v>45742</v>
      </c>
      <c r="D1070" s="50">
        <v>45839</v>
      </c>
      <c r="E1070" s="49" t="s">
        <v>1377</v>
      </c>
      <c r="F1070" s="49" t="s">
        <v>9</v>
      </c>
      <c r="G1070" s="51">
        <v>1</v>
      </c>
      <c r="H1070" s="51" t="s">
        <v>1466</v>
      </c>
      <c r="I1070" s="26" t="s">
        <v>190</v>
      </c>
    </row>
    <row r="1071" spans="1:9" x14ac:dyDescent="0.25">
      <c r="A1071" s="49" t="s">
        <v>247</v>
      </c>
      <c r="B1071" s="50">
        <v>45741</v>
      </c>
      <c r="C1071" s="50">
        <v>45742</v>
      </c>
      <c r="D1071" s="50">
        <v>45804</v>
      </c>
      <c r="E1071" s="49" t="s">
        <v>1467</v>
      </c>
      <c r="F1071" s="49" t="s">
        <v>8</v>
      </c>
      <c r="G1071" s="51">
        <v>397</v>
      </c>
      <c r="H1071" s="51" t="s">
        <v>1468</v>
      </c>
      <c r="I1071" s="26" t="s">
        <v>177</v>
      </c>
    </row>
    <row r="1072" spans="1:9" x14ac:dyDescent="0.25">
      <c r="A1072" s="49" t="s">
        <v>86</v>
      </c>
      <c r="B1072" s="50">
        <v>45742</v>
      </c>
      <c r="C1072" s="50">
        <v>45743</v>
      </c>
      <c r="D1072" s="50">
        <v>45747</v>
      </c>
      <c r="E1072" s="49" t="s">
        <v>1469</v>
      </c>
      <c r="F1072" s="49" t="s">
        <v>9</v>
      </c>
      <c r="G1072" s="51">
        <v>52</v>
      </c>
      <c r="H1072" s="51" t="s">
        <v>1470</v>
      </c>
      <c r="I1072" s="26" t="s">
        <v>184</v>
      </c>
    </row>
    <row r="1073" spans="1:9" x14ac:dyDescent="0.25">
      <c r="A1073" s="49" t="s">
        <v>86</v>
      </c>
      <c r="B1073" s="50">
        <v>45742</v>
      </c>
      <c r="C1073" s="50">
        <v>45743</v>
      </c>
      <c r="D1073" s="50">
        <v>45747</v>
      </c>
      <c r="E1073" s="49" t="s">
        <v>1469</v>
      </c>
      <c r="F1073" s="49" t="s">
        <v>9</v>
      </c>
      <c r="G1073" s="51">
        <v>1</v>
      </c>
      <c r="H1073" s="51" t="s">
        <v>1471</v>
      </c>
      <c r="I1073" s="26" t="s">
        <v>184</v>
      </c>
    </row>
    <row r="1074" spans="1:9" x14ac:dyDescent="0.25">
      <c r="A1074" s="49" t="s">
        <v>86</v>
      </c>
      <c r="B1074" s="50">
        <v>45743</v>
      </c>
      <c r="C1074" s="50">
        <v>45743</v>
      </c>
      <c r="D1074" s="50">
        <v>45804</v>
      </c>
      <c r="E1074" s="49" t="s">
        <v>706</v>
      </c>
      <c r="F1074" s="49" t="s">
        <v>9</v>
      </c>
      <c r="G1074" s="51">
        <v>149</v>
      </c>
      <c r="H1074" s="51" t="s">
        <v>707</v>
      </c>
      <c r="I1074" s="26" t="s">
        <v>184</v>
      </c>
    </row>
    <row r="1075" spans="1:9" x14ac:dyDescent="0.25">
      <c r="A1075" s="49" t="s">
        <v>62</v>
      </c>
      <c r="B1075" s="50">
        <v>45743</v>
      </c>
      <c r="C1075" s="50">
        <v>45743</v>
      </c>
      <c r="D1075" s="50">
        <v>45805</v>
      </c>
      <c r="E1075" s="49" t="s">
        <v>1472</v>
      </c>
      <c r="F1075" s="49" t="s">
        <v>9</v>
      </c>
      <c r="G1075" s="51">
        <v>108</v>
      </c>
      <c r="H1075" s="51" t="s">
        <v>1473</v>
      </c>
      <c r="I1075" s="26" t="s">
        <v>184</v>
      </c>
    </row>
    <row r="1076" spans="1:9" x14ac:dyDescent="0.25">
      <c r="A1076" s="49" t="s">
        <v>6</v>
      </c>
      <c r="B1076" s="50">
        <v>45743</v>
      </c>
      <c r="C1076" s="50">
        <v>45743</v>
      </c>
      <c r="D1076" s="50">
        <v>45835</v>
      </c>
      <c r="E1076" s="49" t="s">
        <v>59</v>
      </c>
      <c r="F1076" s="49" t="s">
        <v>8</v>
      </c>
      <c r="G1076" s="51">
        <v>1</v>
      </c>
      <c r="H1076" s="51" t="s">
        <v>1474</v>
      </c>
      <c r="I1076" s="26" t="s">
        <v>178</v>
      </c>
    </row>
    <row r="1077" spans="1:9" x14ac:dyDescent="0.25">
      <c r="A1077" s="49" t="s">
        <v>5</v>
      </c>
      <c r="B1077" s="50">
        <v>45743</v>
      </c>
      <c r="C1077" s="50">
        <v>45748</v>
      </c>
      <c r="D1077" s="50">
        <v>45807</v>
      </c>
      <c r="E1077" s="49" t="s">
        <v>1475</v>
      </c>
      <c r="F1077" s="49" t="s">
        <v>8</v>
      </c>
      <c r="G1077" s="51">
        <v>115</v>
      </c>
      <c r="H1077" s="51" t="s">
        <v>1506</v>
      </c>
      <c r="I1077" s="26" t="s">
        <v>190</v>
      </c>
    </row>
    <row r="1078" spans="1:9" x14ac:dyDescent="0.25">
      <c r="A1078" s="49" t="s">
        <v>5</v>
      </c>
      <c r="B1078" s="50">
        <v>45747</v>
      </c>
      <c r="C1078" s="50">
        <v>45748</v>
      </c>
      <c r="D1078" s="50">
        <v>45781</v>
      </c>
      <c r="E1078" s="49" t="s">
        <v>1476</v>
      </c>
      <c r="F1078" s="49" t="s">
        <v>322</v>
      </c>
      <c r="G1078" s="51">
        <v>65</v>
      </c>
      <c r="H1078" s="51" t="s">
        <v>1477</v>
      </c>
      <c r="I1078" s="26" t="s">
        <v>190</v>
      </c>
    </row>
    <row r="1079" spans="1:9" x14ac:dyDescent="0.25">
      <c r="A1079" s="49" t="s">
        <v>5</v>
      </c>
      <c r="B1079" s="50">
        <v>45744</v>
      </c>
      <c r="C1079" s="50">
        <v>45748</v>
      </c>
      <c r="D1079" s="50">
        <v>45807</v>
      </c>
      <c r="E1079" s="49" t="s">
        <v>1478</v>
      </c>
      <c r="F1079" s="49" t="s">
        <v>8</v>
      </c>
      <c r="G1079" s="51">
        <v>221</v>
      </c>
      <c r="H1079" s="51" t="s">
        <v>1479</v>
      </c>
      <c r="I1079" s="26" t="s">
        <v>178</v>
      </c>
    </row>
    <row r="1080" spans="1:9" x14ac:dyDescent="0.25">
      <c r="A1080" s="49" t="s">
        <v>5</v>
      </c>
      <c r="B1080" s="50">
        <v>45747</v>
      </c>
      <c r="C1080" s="50">
        <v>45748</v>
      </c>
      <c r="D1080" s="50">
        <v>45761</v>
      </c>
      <c r="E1080" s="49" t="s">
        <v>1480</v>
      </c>
      <c r="F1080" s="49" t="s">
        <v>9</v>
      </c>
      <c r="G1080" s="51">
        <v>60</v>
      </c>
      <c r="H1080" s="51" t="s">
        <v>1481</v>
      </c>
      <c r="I1080" s="26" t="s">
        <v>187</v>
      </c>
    </row>
    <row r="1081" spans="1:9" x14ac:dyDescent="0.25">
      <c r="A1081" s="49" t="s">
        <v>652</v>
      </c>
      <c r="B1081" s="50">
        <v>45747</v>
      </c>
      <c r="C1081" s="50">
        <v>45748</v>
      </c>
      <c r="D1081" s="50">
        <v>45808</v>
      </c>
      <c r="E1081" s="49" t="s">
        <v>1482</v>
      </c>
      <c r="F1081" s="49" t="s">
        <v>9</v>
      </c>
      <c r="G1081" s="51">
        <v>48</v>
      </c>
      <c r="H1081" s="51" t="s">
        <v>1483</v>
      </c>
      <c r="I1081" s="26" t="s">
        <v>180</v>
      </c>
    </row>
    <row r="1082" spans="1:9" x14ac:dyDescent="0.25">
      <c r="A1082" s="49" t="s">
        <v>1484</v>
      </c>
      <c r="B1082" s="50">
        <v>45748</v>
      </c>
      <c r="C1082" s="50">
        <v>45748</v>
      </c>
      <c r="D1082" s="50">
        <v>45810</v>
      </c>
      <c r="E1082" s="49" t="s">
        <v>1485</v>
      </c>
      <c r="F1082" s="49" t="s">
        <v>8</v>
      </c>
      <c r="G1082" s="51">
        <v>28</v>
      </c>
      <c r="H1082" s="51" t="s">
        <v>1486</v>
      </c>
      <c r="I1082" s="26" t="s">
        <v>177</v>
      </c>
    </row>
    <row r="1083" spans="1:9" x14ac:dyDescent="0.25">
      <c r="A1083" s="49" t="s">
        <v>23</v>
      </c>
      <c r="B1083" s="50">
        <v>45741</v>
      </c>
      <c r="C1083" s="50">
        <v>45748</v>
      </c>
      <c r="D1083" s="50">
        <v>45801</v>
      </c>
      <c r="E1083" s="49" t="s">
        <v>1487</v>
      </c>
      <c r="F1083" s="49" t="s">
        <v>9</v>
      </c>
      <c r="G1083" s="51">
        <v>240</v>
      </c>
      <c r="H1083" s="51" t="s">
        <v>1488</v>
      </c>
      <c r="I1083" s="26" t="s">
        <v>180</v>
      </c>
    </row>
    <row r="1084" spans="1:9" x14ac:dyDescent="0.25">
      <c r="A1084" s="49" t="s">
        <v>21</v>
      </c>
      <c r="B1084" s="50">
        <v>45748</v>
      </c>
      <c r="C1084" s="50">
        <v>45748</v>
      </c>
      <c r="D1084" s="50">
        <v>45809</v>
      </c>
      <c r="E1084" s="49" t="s">
        <v>1489</v>
      </c>
      <c r="F1084" s="49" t="s">
        <v>8</v>
      </c>
      <c r="G1084" s="51">
        <v>59</v>
      </c>
      <c r="H1084" s="51" t="s">
        <v>1490</v>
      </c>
      <c r="I1084" s="26" t="s">
        <v>181</v>
      </c>
    </row>
    <row r="1085" spans="1:9" x14ac:dyDescent="0.25">
      <c r="A1085" s="49" t="s">
        <v>21</v>
      </c>
      <c r="B1085" s="50">
        <v>45748</v>
      </c>
      <c r="C1085" s="50">
        <v>45748</v>
      </c>
      <c r="D1085" s="50">
        <v>45809</v>
      </c>
      <c r="E1085" s="49" t="s">
        <v>1489</v>
      </c>
      <c r="F1085" s="49" t="s">
        <v>8</v>
      </c>
      <c r="G1085" s="51">
        <v>12</v>
      </c>
      <c r="H1085" s="51" t="s">
        <v>1491</v>
      </c>
      <c r="I1085" s="26" t="s">
        <v>191</v>
      </c>
    </row>
    <row r="1086" spans="1:9" x14ac:dyDescent="0.25">
      <c r="A1086" s="49" t="s">
        <v>106</v>
      </c>
      <c r="B1086" s="50">
        <v>45704</v>
      </c>
      <c r="C1086" s="50">
        <v>45748</v>
      </c>
      <c r="D1086" s="50">
        <v>45763</v>
      </c>
      <c r="E1086" s="49" t="s">
        <v>1492</v>
      </c>
      <c r="F1086" s="49" t="s">
        <v>9</v>
      </c>
      <c r="G1086" s="51">
        <v>55</v>
      </c>
      <c r="H1086" s="51" t="s">
        <v>1493</v>
      </c>
      <c r="I1086" s="26" t="s">
        <v>191</v>
      </c>
    </row>
    <row r="1087" spans="1:9" x14ac:dyDescent="0.25">
      <c r="A1087" s="49" t="s">
        <v>5</v>
      </c>
      <c r="B1087" s="50">
        <v>45747</v>
      </c>
      <c r="C1087" s="50">
        <v>45748</v>
      </c>
      <c r="D1087" s="50">
        <v>45807</v>
      </c>
      <c r="E1087" s="49" t="s">
        <v>1494</v>
      </c>
      <c r="F1087" s="49" t="s">
        <v>8</v>
      </c>
      <c r="G1087" s="51">
        <v>190</v>
      </c>
      <c r="H1087" s="51" t="s">
        <v>1495</v>
      </c>
      <c r="I1087" s="26" t="s">
        <v>188</v>
      </c>
    </row>
    <row r="1088" spans="1:9" x14ac:dyDescent="0.25">
      <c r="A1088" s="49" t="s">
        <v>6</v>
      </c>
      <c r="B1088" s="50">
        <v>45747</v>
      </c>
      <c r="C1088" s="50">
        <v>45748</v>
      </c>
      <c r="D1088" s="50">
        <v>45807</v>
      </c>
      <c r="E1088" s="49" t="s">
        <v>1494</v>
      </c>
      <c r="F1088" s="49" t="s">
        <v>8</v>
      </c>
      <c r="G1088" s="51">
        <v>180</v>
      </c>
      <c r="H1088" s="51" t="s">
        <v>1496</v>
      </c>
      <c r="I1088" s="26" t="s">
        <v>180</v>
      </c>
    </row>
    <row r="1089" spans="1:9" x14ac:dyDescent="0.25">
      <c r="A1089" s="49" t="s">
        <v>6</v>
      </c>
      <c r="B1089" s="50">
        <v>45744</v>
      </c>
      <c r="C1089" s="50">
        <v>45748</v>
      </c>
      <c r="D1089" s="50">
        <v>45807</v>
      </c>
      <c r="E1089" s="49" t="s">
        <v>1478</v>
      </c>
      <c r="F1089" s="49" t="s">
        <v>8</v>
      </c>
      <c r="G1089" s="51">
        <v>55</v>
      </c>
      <c r="H1089" s="51" t="s">
        <v>1497</v>
      </c>
      <c r="I1089" s="26" t="s">
        <v>180</v>
      </c>
    </row>
    <row r="1090" spans="1:9" x14ac:dyDescent="0.25">
      <c r="A1090" s="49" t="s">
        <v>84</v>
      </c>
      <c r="B1090" s="50">
        <v>45748</v>
      </c>
      <c r="C1090" s="50">
        <v>45748</v>
      </c>
      <c r="D1090" s="50">
        <v>45748</v>
      </c>
      <c r="E1090" s="49" t="s">
        <v>1167</v>
      </c>
      <c r="F1090" s="49" t="s">
        <v>9</v>
      </c>
      <c r="G1090" s="51">
        <v>2</v>
      </c>
      <c r="H1090" s="51" t="s">
        <v>1168</v>
      </c>
      <c r="I1090" s="26" t="s">
        <v>178</v>
      </c>
    </row>
    <row r="1091" spans="1:9" x14ac:dyDescent="0.25">
      <c r="A1091" s="49" t="s">
        <v>21</v>
      </c>
      <c r="B1091" s="50">
        <v>45733</v>
      </c>
      <c r="C1091" s="50">
        <v>45748</v>
      </c>
      <c r="D1091" s="50">
        <v>45794</v>
      </c>
      <c r="E1091" s="49" t="s">
        <v>1498</v>
      </c>
      <c r="F1091" s="49" t="s">
        <v>9</v>
      </c>
      <c r="G1091" s="51">
        <v>66</v>
      </c>
      <c r="H1091" s="51" t="s">
        <v>1499</v>
      </c>
      <c r="I1091" s="26" t="s">
        <v>188</v>
      </c>
    </row>
    <row r="1092" spans="1:9" x14ac:dyDescent="0.25">
      <c r="A1092" s="49" t="s">
        <v>79</v>
      </c>
      <c r="B1092" s="50">
        <v>45744</v>
      </c>
      <c r="C1092" s="50">
        <v>45749</v>
      </c>
      <c r="D1092" s="50">
        <v>45809</v>
      </c>
      <c r="E1092" s="49" t="s">
        <v>1500</v>
      </c>
      <c r="F1092" s="49" t="s">
        <v>9</v>
      </c>
      <c r="G1092" s="51">
        <v>600</v>
      </c>
      <c r="H1092" s="51" t="s">
        <v>1501</v>
      </c>
      <c r="I1092" s="26" t="s">
        <v>174</v>
      </c>
    </row>
    <row r="1093" spans="1:9" x14ac:dyDescent="0.25">
      <c r="A1093" s="49" t="s">
        <v>5</v>
      </c>
      <c r="B1093" s="50">
        <v>45748</v>
      </c>
      <c r="C1093" s="50">
        <v>45749</v>
      </c>
      <c r="D1093" s="50">
        <v>45810</v>
      </c>
      <c r="E1093" s="49" t="s">
        <v>1502</v>
      </c>
      <c r="F1093" s="49" t="s">
        <v>8</v>
      </c>
      <c r="G1093" s="51">
        <v>73</v>
      </c>
      <c r="H1093" s="51" t="s">
        <v>1503</v>
      </c>
      <c r="I1093" s="26" t="s">
        <v>184</v>
      </c>
    </row>
    <row r="1094" spans="1:9" x14ac:dyDescent="0.25">
      <c r="A1094" s="49" t="s">
        <v>5</v>
      </c>
      <c r="B1094" s="50">
        <v>45747</v>
      </c>
      <c r="C1094" s="50">
        <v>45749</v>
      </c>
      <c r="D1094" s="50">
        <v>45808</v>
      </c>
      <c r="E1094" s="49" t="s">
        <v>1405</v>
      </c>
      <c r="F1094" s="49" t="s">
        <v>8</v>
      </c>
      <c r="G1094" s="51">
        <v>4</v>
      </c>
      <c r="H1094" s="51" t="s">
        <v>1504</v>
      </c>
      <c r="I1094" s="26" t="s">
        <v>177</v>
      </c>
    </row>
    <row r="1095" spans="1:9" x14ac:dyDescent="0.25">
      <c r="A1095" s="49" t="s">
        <v>5</v>
      </c>
      <c r="B1095" s="50">
        <v>45747</v>
      </c>
      <c r="C1095" s="50">
        <v>45749</v>
      </c>
      <c r="D1095" s="50">
        <v>45808</v>
      </c>
      <c r="E1095" s="49" t="s">
        <v>1405</v>
      </c>
      <c r="F1095" s="49" t="s">
        <v>8</v>
      </c>
      <c r="G1095" s="51">
        <v>4</v>
      </c>
      <c r="H1095" s="51" t="s">
        <v>1505</v>
      </c>
      <c r="I1095" s="26" t="s">
        <v>177</v>
      </c>
    </row>
    <row r="1096" spans="1:9" x14ac:dyDescent="0.25">
      <c r="A1096" s="49" t="s">
        <v>7</v>
      </c>
      <c r="B1096" s="50">
        <v>45750</v>
      </c>
      <c r="C1096" s="50">
        <v>45750</v>
      </c>
      <c r="D1096" s="50">
        <v>45817</v>
      </c>
      <c r="E1096" s="49" t="s">
        <v>1507</v>
      </c>
      <c r="F1096" s="49" t="s">
        <v>10</v>
      </c>
      <c r="G1096" s="51">
        <v>105</v>
      </c>
      <c r="H1096" s="51" t="s">
        <v>1508</v>
      </c>
      <c r="I1096" s="26" t="s">
        <v>190</v>
      </c>
    </row>
    <row r="1097" spans="1:9" x14ac:dyDescent="0.25">
      <c r="A1097" s="49" t="s">
        <v>22</v>
      </c>
      <c r="B1097" s="50">
        <v>45750</v>
      </c>
      <c r="C1097" s="50">
        <v>45750</v>
      </c>
      <c r="D1097" s="50">
        <v>45810</v>
      </c>
      <c r="E1097" s="49" t="s">
        <v>1509</v>
      </c>
      <c r="F1097" s="49" t="s">
        <v>9</v>
      </c>
      <c r="G1097" s="51">
        <v>8</v>
      </c>
      <c r="H1097" s="51" t="s">
        <v>1510</v>
      </c>
      <c r="I1097" s="26" t="s">
        <v>180</v>
      </c>
    </row>
    <row r="1098" spans="1:9" x14ac:dyDescent="0.25">
      <c r="A1098" s="49" t="s">
        <v>84</v>
      </c>
      <c r="B1098" s="50">
        <v>45722</v>
      </c>
      <c r="C1098" s="50">
        <v>45750</v>
      </c>
      <c r="D1098" s="50">
        <v>45798</v>
      </c>
      <c r="E1098" s="49" t="s">
        <v>629</v>
      </c>
      <c r="F1098" s="49" t="s">
        <v>8</v>
      </c>
      <c r="G1098" s="51">
        <v>39</v>
      </c>
      <c r="H1098" s="51" t="s">
        <v>1511</v>
      </c>
      <c r="I1098" s="26" t="s">
        <v>190</v>
      </c>
    </row>
    <row r="1099" spans="1:9" x14ac:dyDescent="0.25">
      <c r="A1099" s="49" t="s">
        <v>5</v>
      </c>
      <c r="B1099" s="50">
        <v>45751</v>
      </c>
      <c r="C1099" s="50">
        <v>45751</v>
      </c>
      <c r="D1099" s="50">
        <v>45817</v>
      </c>
      <c r="E1099" s="49" t="s">
        <v>1512</v>
      </c>
      <c r="F1099" s="49" t="s">
        <v>10</v>
      </c>
      <c r="G1099" s="51">
        <v>67</v>
      </c>
      <c r="H1099" s="51" t="s">
        <v>1513</v>
      </c>
      <c r="I1099" s="26" t="s">
        <v>190</v>
      </c>
    </row>
    <row r="1100" spans="1:9" x14ac:dyDescent="0.25">
      <c r="A1100" s="49" t="s">
        <v>21</v>
      </c>
      <c r="B1100" s="50">
        <v>45751</v>
      </c>
      <c r="C1100" s="50">
        <v>45751</v>
      </c>
      <c r="D1100" s="50">
        <v>45812</v>
      </c>
      <c r="E1100" s="49" t="s">
        <v>1514</v>
      </c>
      <c r="F1100" s="49" t="s">
        <v>8</v>
      </c>
      <c r="G1100" s="51">
        <v>56</v>
      </c>
      <c r="H1100" s="51" t="s">
        <v>1515</v>
      </c>
      <c r="I1100" s="26" t="s">
        <v>188</v>
      </c>
    </row>
    <row r="1101" spans="1:9" x14ac:dyDescent="0.25">
      <c r="A1101" s="49" t="s">
        <v>6</v>
      </c>
      <c r="B1101" s="50">
        <v>45751</v>
      </c>
      <c r="C1101" s="50">
        <v>45751</v>
      </c>
      <c r="D1101" s="50">
        <v>45810</v>
      </c>
      <c r="E1101" s="49" t="s">
        <v>1516</v>
      </c>
      <c r="F1101" s="49" t="s">
        <v>9</v>
      </c>
      <c r="G1101" s="51">
        <v>56</v>
      </c>
      <c r="H1101" s="51" t="s">
        <v>1517</v>
      </c>
      <c r="I1101" s="26" t="s">
        <v>178</v>
      </c>
    </row>
    <row r="1102" spans="1:9" x14ac:dyDescent="0.25">
      <c r="A1102" s="49" t="s">
        <v>23</v>
      </c>
      <c r="B1102" s="50">
        <v>45751</v>
      </c>
      <c r="C1102" s="50">
        <v>45754</v>
      </c>
      <c r="D1102" s="50">
        <v>45810</v>
      </c>
      <c r="E1102" s="49" t="s">
        <v>1518</v>
      </c>
      <c r="F1102" s="49" t="s">
        <v>8</v>
      </c>
      <c r="G1102" s="51">
        <v>79</v>
      </c>
      <c r="H1102" s="51" t="s">
        <v>1519</v>
      </c>
      <c r="I1102" s="26" t="s">
        <v>180</v>
      </c>
    </row>
    <row r="1103" spans="1:9" x14ac:dyDescent="0.25">
      <c r="A1103" s="49" t="s">
        <v>23</v>
      </c>
      <c r="B1103" s="50">
        <v>45751</v>
      </c>
      <c r="C1103" s="50">
        <v>45754</v>
      </c>
      <c r="D1103" s="50">
        <v>45810</v>
      </c>
      <c r="E1103" s="49" t="s">
        <v>1518</v>
      </c>
      <c r="F1103" s="49" t="s">
        <v>8</v>
      </c>
      <c r="G1103" s="51">
        <v>95</v>
      </c>
      <c r="H1103" s="51" t="s">
        <v>1520</v>
      </c>
      <c r="I1103" s="26" t="s">
        <v>180</v>
      </c>
    </row>
    <row r="1104" spans="1:9" x14ac:dyDescent="0.25">
      <c r="A1104" s="49" t="s">
        <v>23</v>
      </c>
      <c r="B1104" s="50">
        <v>45754</v>
      </c>
      <c r="C1104" s="50">
        <v>45754</v>
      </c>
      <c r="D1104" s="50">
        <v>45815</v>
      </c>
      <c r="E1104" s="49" t="s">
        <v>1521</v>
      </c>
      <c r="F1104" s="49" t="s">
        <v>8</v>
      </c>
      <c r="G1104" s="51">
        <v>72</v>
      </c>
      <c r="H1104" s="51" t="s">
        <v>1522</v>
      </c>
      <c r="I1104" s="26" t="s">
        <v>179</v>
      </c>
    </row>
    <row r="1105" spans="1:9" x14ac:dyDescent="0.25">
      <c r="A1105" s="49" t="s">
        <v>84</v>
      </c>
      <c r="B1105" s="50">
        <v>45754</v>
      </c>
      <c r="C1105" s="50">
        <v>45754</v>
      </c>
      <c r="D1105" s="50">
        <v>45815</v>
      </c>
      <c r="E1105" s="49" t="s">
        <v>1521</v>
      </c>
      <c r="F1105" s="49" t="s">
        <v>8</v>
      </c>
      <c r="G1105" s="51">
        <v>18</v>
      </c>
      <c r="H1105" s="51" t="s">
        <v>1523</v>
      </c>
      <c r="I1105" s="26" t="s">
        <v>179</v>
      </c>
    </row>
    <row r="1106" spans="1:9" x14ac:dyDescent="0.25">
      <c r="A1106" s="49" t="s">
        <v>5</v>
      </c>
      <c r="B1106" s="50">
        <v>45755</v>
      </c>
      <c r="C1106" s="50">
        <v>45755</v>
      </c>
      <c r="D1106" s="50">
        <v>45817</v>
      </c>
      <c r="E1106" s="49" t="s">
        <v>1524</v>
      </c>
      <c r="F1106" s="49" t="s">
        <v>10</v>
      </c>
      <c r="G1106" s="51">
        <v>66</v>
      </c>
      <c r="H1106" s="51" t="s">
        <v>1525</v>
      </c>
      <c r="I1106" s="26" t="s">
        <v>190</v>
      </c>
    </row>
    <row r="1107" spans="1:9" x14ac:dyDescent="0.25">
      <c r="A1107" s="49" t="s">
        <v>5</v>
      </c>
      <c r="B1107" s="50">
        <v>45752</v>
      </c>
      <c r="C1107" s="50">
        <v>45755</v>
      </c>
      <c r="D1107" s="50">
        <v>45814</v>
      </c>
      <c r="E1107" s="49" t="s">
        <v>1526</v>
      </c>
      <c r="F1107" s="49" t="s">
        <v>8</v>
      </c>
      <c r="G1107" s="51">
        <v>146</v>
      </c>
      <c r="H1107" s="51" t="s">
        <v>1527</v>
      </c>
      <c r="I1107" s="26" t="s">
        <v>177</v>
      </c>
    </row>
    <row r="1108" spans="1:9" x14ac:dyDescent="0.25">
      <c r="A1108" s="49" t="s">
        <v>5</v>
      </c>
      <c r="B1108" s="50">
        <v>45755</v>
      </c>
      <c r="C1108" s="50">
        <v>45755</v>
      </c>
      <c r="D1108" s="50">
        <v>45755</v>
      </c>
      <c r="E1108" s="49" t="s">
        <v>1528</v>
      </c>
      <c r="F1108" s="49" t="s">
        <v>9</v>
      </c>
      <c r="G1108" s="51">
        <v>37</v>
      </c>
      <c r="H1108" s="51" t="s">
        <v>1529</v>
      </c>
      <c r="I1108" s="26" t="s">
        <v>177</v>
      </c>
    </row>
    <row r="1109" spans="1:9" x14ac:dyDescent="0.25">
      <c r="A1109" s="49" t="s">
        <v>1530</v>
      </c>
      <c r="B1109" s="50">
        <v>45742</v>
      </c>
      <c r="C1109" s="50">
        <v>45756</v>
      </c>
      <c r="D1109" s="50">
        <v>45810</v>
      </c>
      <c r="E1109" s="49" t="s">
        <v>1531</v>
      </c>
      <c r="F1109" s="49" t="s">
        <v>9</v>
      </c>
      <c r="G1109" s="51">
        <v>6</v>
      </c>
      <c r="H1109" s="51" t="s">
        <v>1532</v>
      </c>
      <c r="I1109" s="26" t="s">
        <v>181</v>
      </c>
    </row>
    <row r="1110" spans="1:9" x14ac:dyDescent="0.25">
      <c r="A1110" s="49" t="s">
        <v>1533</v>
      </c>
      <c r="B1110" s="50">
        <v>45742</v>
      </c>
      <c r="C1110" s="50">
        <v>45756</v>
      </c>
      <c r="D1110" s="50">
        <v>45810</v>
      </c>
      <c r="E1110" s="49" t="s">
        <v>1531</v>
      </c>
      <c r="F1110" s="49" t="s">
        <v>9</v>
      </c>
      <c r="G1110" s="51">
        <v>7</v>
      </c>
      <c r="H1110" s="51" t="s">
        <v>1534</v>
      </c>
      <c r="I1110" s="26" t="s">
        <v>181</v>
      </c>
    </row>
    <row r="1111" spans="1:9" x14ac:dyDescent="0.25">
      <c r="A1111" s="49" t="s">
        <v>49</v>
      </c>
      <c r="B1111" s="50">
        <v>45742</v>
      </c>
      <c r="C1111" s="50">
        <v>45756</v>
      </c>
      <c r="D1111" s="50">
        <v>45810</v>
      </c>
      <c r="E1111" s="49" t="s">
        <v>1531</v>
      </c>
      <c r="F1111" s="49" t="s">
        <v>9</v>
      </c>
      <c r="G1111" s="51">
        <v>8</v>
      </c>
      <c r="H1111" s="51" t="s">
        <v>1535</v>
      </c>
      <c r="I1111" s="26" t="s">
        <v>181</v>
      </c>
    </row>
    <row r="1112" spans="1:9" x14ac:dyDescent="0.25">
      <c r="A1112" s="49" t="s">
        <v>5</v>
      </c>
      <c r="B1112" s="50">
        <v>45756</v>
      </c>
      <c r="C1112" s="50">
        <v>45756</v>
      </c>
      <c r="D1112" s="50">
        <v>45826</v>
      </c>
      <c r="E1112" s="49" t="s">
        <v>1536</v>
      </c>
      <c r="F1112" s="49" t="s">
        <v>9</v>
      </c>
      <c r="G1112" s="51">
        <v>13</v>
      </c>
      <c r="H1112" s="51" t="s">
        <v>1537</v>
      </c>
      <c r="I1112" s="26" t="s">
        <v>187</v>
      </c>
    </row>
    <row r="1113" spans="1:9" x14ac:dyDescent="0.25">
      <c r="A1113" s="49" t="s">
        <v>5</v>
      </c>
      <c r="B1113" s="50">
        <v>45756</v>
      </c>
      <c r="C1113" s="50">
        <v>45756</v>
      </c>
      <c r="D1113" s="50">
        <v>45826</v>
      </c>
      <c r="E1113" s="49" t="s">
        <v>1536</v>
      </c>
      <c r="F1113" s="49" t="s">
        <v>9</v>
      </c>
      <c r="G1113" s="51">
        <v>11</v>
      </c>
      <c r="H1113" s="51" t="s">
        <v>1538</v>
      </c>
      <c r="I1113" s="26" t="s">
        <v>187</v>
      </c>
    </row>
    <row r="1114" spans="1:9" x14ac:dyDescent="0.25">
      <c r="A1114" s="49" t="s">
        <v>5</v>
      </c>
      <c r="B1114" s="50">
        <v>45756</v>
      </c>
      <c r="C1114" s="50">
        <v>45756</v>
      </c>
      <c r="D1114" s="50">
        <v>45826</v>
      </c>
      <c r="E1114" s="49" t="s">
        <v>1536</v>
      </c>
      <c r="F1114" s="49" t="s">
        <v>9</v>
      </c>
      <c r="G1114" s="51">
        <v>11</v>
      </c>
      <c r="H1114" s="51" t="s">
        <v>1539</v>
      </c>
      <c r="I1114" s="26" t="s">
        <v>187</v>
      </c>
    </row>
    <row r="1115" spans="1:9" x14ac:dyDescent="0.25">
      <c r="A1115" s="49" t="s">
        <v>5</v>
      </c>
      <c r="B1115" s="50">
        <v>45756</v>
      </c>
      <c r="C1115" s="50">
        <v>45756</v>
      </c>
      <c r="D1115" s="50">
        <v>45826</v>
      </c>
      <c r="E1115" s="49" t="s">
        <v>1536</v>
      </c>
      <c r="F1115" s="49" t="s">
        <v>9</v>
      </c>
      <c r="G1115" s="51">
        <v>24</v>
      </c>
      <c r="H1115" s="51" t="s">
        <v>1540</v>
      </c>
      <c r="I1115" s="26" t="s">
        <v>187</v>
      </c>
    </row>
    <row r="1116" spans="1:9" x14ac:dyDescent="0.25">
      <c r="A1116" s="49" t="s">
        <v>5</v>
      </c>
      <c r="B1116" s="50">
        <v>45756</v>
      </c>
      <c r="C1116" s="50">
        <v>45756</v>
      </c>
      <c r="D1116" s="50">
        <v>45826</v>
      </c>
      <c r="E1116" s="49" t="s">
        <v>1536</v>
      </c>
      <c r="F1116" s="49" t="s">
        <v>9</v>
      </c>
      <c r="G1116" s="51">
        <v>11</v>
      </c>
      <c r="H1116" s="51" t="s">
        <v>1541</v>
      </c>
      <c r="I1116" s="26" t="s">
        <v>187</v>
      </c>
    </row>
    <row r="1117" spans="1:9" x14ac:dyDescent="0.25">
      <c r="A1117" s="49" t="s">
        <v>5</v>
      </c>
      <c r="B1117" s="50">
        <v>45756</v>
      </c>
      <c r="C1117" s="50">
        <v>45756</v>
      </c>
      <c r="D1117" s="50">
        <v>45826</v>
      </c>
      <c r="E1117" s="49" t="s">
        <v>1536</v>
      </c>
      <c r="F1117" s="49" t="s">
        <v>9</v>
      </c>
      <c r="G1117" s="51">
        <v>10</v>
      </c>
      <c r="H1117" s="51" t="s">
        <v>1542</v>
      </c>
      <c r="I1117" s="26" t="s">
        <v>187</v>
      </c>
    </row>
    <row r="1118" spans="1:9" x14ac:dyDescent="0.25">
      <c r="A1118" s="49" t="s">
        <v>5</v>
      </c>
      <c r="B1118" s="50">
        <v>45756</v>
      </c>
      <c r="C1118" s="50">
        <v>45756</v>
      </c>
      <c r="D1118" s="50">
        <v>45826</v>
      </c>
      <c r="E1118" s="49" t="s">
        <v>1536</v>
      </c>
      <c r="F1118" s="49" t="s">
        <v>9</v>
      </c>
      <c r="G1118" s="51">
        <v>18</v>
      </c>
      <c r="H1118" s="51" t="s">
        <v>1543</v>
      </c>
      <c r="I1118" s="26" t="s">
        <v>187</v>
      </c>
    </row>
    <row r="1119" spans="1:9" x14ac:dyDescent="0.25">
      <c r="A1119" s="49" t="s">
        <v>86</v>
      </c>
      <c r="B1119" s="50">
        <v>45756</v>
      </c>
      <c r="C1119" s="50">
        <v>45757</v>
      </c>
      <c r="D1119" s="50">
        <v>45816</v>
      </c>
      <c r="E1119" s="49" t="s">
        <v>1545</v>
      </c>
      <c r="F1119" s="49" t="s">
        <v>9</v>
      </c>
      <c r="G1119" s="51">
        <v>70</v>
      </c>
      <c r="H1119" s="51" t="s">
        <v>1546</v>
      </c>
      <c r="I1119" s="26" t="s">
        <v>184</v>
      </c>
    </row>
    <row r="1120" spans="1:9" x14ac:dyDescent="0.25">
      <c r="A1120" s="49" t="s">
        <v>62</v>
      </c>
      <c r="B1120" s="50">
        <v>45756</v>
      </c>
      <c r="C1120" s="50">
        <v>45757</v>
      </c>
      <c r="D1120" s="50">
        <v>45817</v>
      </c>
      <c r="E1120" s="49" t="s">
        <v>1536</v>
      </c>
      <c r="F1120" s="49" t="s">
        <v>9</v>
      </c>
      <c r="G1120" s="51">
        <v>7</v>
      </c>
      <c r="H1120" s="51" t="s">
        <v>1547</v>
      </c>
      <c r="I1120" s="26" t="s">
        <v>187</v>
      </c>
    </row>
    <row r="1121" spans="1:9" x14ac:dyDescent="0.25">
      <c r="A1121" s="49" t="s">
        <v>62</v>
      </c>
      <c r="B1121" s="50">
        <v>45756</v>
      </c>
      <c r="C1121" s="50">
        <v>45757</v>
      </c>
      <c r="D1121" s="50">
        <v>45826</v>
      </c>
      <c r="E1121" s="49" t="s">
        <v>1536</v>
      </c>
      <c r="F1121" s="49" t="s">
        <v>9</v>
      </c>
      <c r="G1121" s="51">
        <v>1</v>
      </c>
      <c r="H1121" s="51" t="s">
        <v>1548</v>
      </c>
      <c r="I1121" s="26" t="s">
        <v>187</v>
      </c>
    </row>
    <row r="1122" spans="1:9" x14ac:dyDescent="0.25">
      <c r="A1122" s="49" t="s">
        <v>62</v>
      </c>
      <c r="B1122" s="50">
        <v>45756</v>
      </c>
      <c r="C1122" s="50">
        <v>45757</v>
      </c>
      <c r="D1122" s="50">
        <v>45817</v>
      </c>
      <c r="E1122" s="49" t="s">
        <v>1536</v>
      </c>
      <c r="F1122" s="49" t="s">
        <v>9</v>
      </c>
      <c r="G1122" s="51">
        <v>9</v>
      </c>
      <c r="H1122" s="51" t="s">
        <v>1549</v>
      </c>
      <c r="I1122" s="26" t="s">
        <v>187</v>
      </c>
    </row>
    <row r="1123" spans="1:9" x14ac:dyDescent="0.25">
      <c r="A1123" s="49" t="s">
        <v>62</v>
      </c>
      <c r="B1123" s="50">
        <v>45756</v>
      </c>
      <c r="C1123" s="50">
        <v>45757</v>
      </c>
      <c r="D1123" s="50">
        <v>45817</v>
      </c>
      <c r="E1123" s="49" t="s">
        <v>1536</v>
      </c>
      <c r="F1123" s="49" t="s">
        <v>9</v>
      </c>
      <c r="G1123" s="51">
        <v>3</v>
      </c>
      <c r="H1123" s="51" t="s">
        <v>1550</v>
      </c>
      <c r="I1123" s="26" t="s">
        <v>187</v>
      </c>
    </row>
    <row r="1124" spans="1:9" x14ac:dyDescent="0.25">
      <c r="A1124" s="49" t="s">
        <v>62</v>
      </c>
      <c r="B1124" s="50">
        <v>45756</v>
      </c>
      <c r="C1124" s="50">
        <v>45757</v>
      </c>
      <c r="D1124" s="50">
        <v>45817</v>
      </c>
      <c r="E1124" s="49" t="s">
        <v>1536</v>
      </c>
      <c r="F1124" s="49" t="s">
        <v>9</v>
      </c>
      <c r="G1124" s="51">
        <v>20</v>
      </c>
      <c r="H1124" s="51" t="s">
        <v>1551</v>
      </c>
      <c r="I1124" s="26" t="s">
        <v>187</v>
      </c>
    </row>
    <row r="1125" spans="1:9" x14ac:dyDescent="0.25">
      <c r="A1125" s="49" t="s">
        <v>62</v>
      </c>
      <c r="B1125" s="50">
        <v>45756</v>
      </c>
      <c r="C1125" s="50">
        <v>45757</v>
      </c>
      <c r="D1125" s="50">
        <v>45817</v>
      </c>
      <c r="E1125" s="49" t="s">
        <v>1536</v>
      </c>
      <c r="F1125" s="49" t="s">
        <v>9</v>
      </c>
      <c r="G1125" s="51">
        <v>5</v>
      </c>
      <c r="H1125" s="51" t="s">
        <v>1552</v>
      </c>
      <c r="I1125" s="26" t="s">
        <v>187</v>
      </c>
    </row>
    <row r="1126" spans="1:9" x14ac:dyDescent="0.25">
      <c r="A1126" s="49" t="s">
        <v>62</v>
      </c>
      <c r="B1126" s="50">
        <v>45756</v>
      </c>
      <c r="C1126" s="50">
        <v>45757</v>
      </c>
      <c r="D1126" s="50">
        <v>45817</v>
      </c>
      <c r="E1126" s="49" t="s">
        <v>1536</v>
      </c>
      <c r="F1126" s="49" t="s">
        <v>9</v>
      </c>
      <c r="G1126" s="51">
        <v>9</v>
      </c>
      <c r="H1126" s="51" t="s">
        <v>1553</v>
      </c>
      <c r="I1126" s="26" t="s">
        <v>187</v>
      </c>
    </row>
    <row r="1127" spans="1:9" x14ac:dyDescent="0.25">
      <c r="A1127" s="49" t="s">
        <v>62</v>
      </c>
      <c r="B1127" s="50">
        <v>45756</v>
      </c>
      <c r="C1127" s="50">
        <v>45757</v>
      </c>
      <c r="D1127" s="50">
        <v>45817</v>
      </c>
      <c r="E1127" s="49" t="s">
        <v>1536</v>
      </c>
      <c r="F1127" s="49" t="s">
        <v>9</v>
      </c>
      <c r="G1127" s="51">
        <v>9</v>
      </c>
      <c r="H1127" s="51" t="s">
        <v>1554</v>
      </c>
      <c r="I1127" s="26" t="s">
        <v>187</v>
      </c>
    </row>
    <row r="1128" spans="1:9" x14ac:dyDescent="0.25">
      <c r="A1128" s="49" t="s">
        <v>62</v>
      </c>
      <c r="B1128" s="50">
        <v>45756</v>
      </c>
      <c r="C1128" s="50">
        <v>45757</v>
      </c>
      <c r="D1128" s="50">
        <v>45817</v>
      </c>
      <c r="E1128" s="49" t="s">
        <v>1536</v>
      </c>
      <c r="F1128" s="49" t="s">
        <v>9</v>
      </c>
      <c r="G1128" s="51">
        <v>5</v>
      </c>
      <c r="H1128" s="51" t="s">
        <v>1555</v>
      </c>
      <c r="I1128" s="26" t="s">
        <v>187</v>
      </c>
    </row>
    <row r="1129" spans="1:9" x14ac:dyDescent="0.25">
      <c r="A1129" s="49" t="s">
        <v>62</v>
      </c>
      <c r="B1129" s="50">
        <v>45756</v>
      </c>
      <c r="C1129" s="50">
        <v>45757</v>
      </c>
      <c r="D1129" s="50">
        <v>45817</v>
      </c>
      <c r="E1129" s="49" t="s">
        <v>1536</v>
      </c>
      <c r="F1129" s="49" t="s">
        <v>9</v>
      </c>
      <c r="G1129" s="51">
        <v>4</v>
      </c>
      <c r="H1129" s="51" t="s">
        <v>1556</v>
      </c>
      <c r="I1129" s="26" t="s">
        <v>187</v>
      </c>
    </row>
    <row r="1130" spans="1:9" x14ac:dyDescent="0.25">
      <c r="A1130" s="49" t="s">
        <v>62</v>
      </c>
      <c r="B1130" s="50">
        <v>45756</v>
      </c>
      <c r="C1130" s="50">
        <v>45757</v>
      </c>
      <c r="D1130" s="50">
        <v>45826</v>
      </c>
      <c r="E1130" s="49" t="s">
        <v>1536</v>
      </c>
      <c r="F1130" s="49" t="s">
        <v>9</v>
      </c>
      <c r="G1130" s="51">
        <v>1</v>
      </c>
      <c r="H1130" s="51" t="s">
        <v>1557</v>
      </c>
      <c r="I1130" s="26" t="s">
        <v>187</v>
      </c>
    </row>
    <row r="1131" spans="1:9" x14ac:dyDescent="0.25">
      <c r="A1131" s="49" t="s">
        <v>62</v>
      </c>
      <c r="B1131" s="50">
        <v>45756</v>
      </c>
      <c r="C1131" s="50">
        <v>45757</v>
      </c>
      <c r="D1131" s="50">
        <v>45818</v>
      </c>
      <c r="E1131" s="49" t="s">
        <v>1536</v>
      </c>
      <c r="F1131" s="49" t="s">
        <v>9</v>
      </c>
      <c r="G1131" s="51">
        <v>15</v>
      </c>
      <c r="H1131" s="51" t="s">
        <v>1558</v>
      </c>
      <c r="I1131" s="26" t="s">
        <v>187</v>
      </c>
    </row>
    <row r="1132" spans="1:9" x14ac:dyDescent="0.25">
      <c r="A1132" s="49" t="s">
        <v>62</v>
      </c>
      <c r="B1132" s="50">
        <v>45756</v>
      </c>
      <c r="C1132" s="50">
        <v>45757</v>
      </c>
      <c r="D1132" s="50">
        <v>45818</v>
      </c>
      <c r="E1132" s="49" t="s">
        <v>1536</v>
      </c>
      <c r="F1132" s="49" t="s">
        <v>9</v>
      </c>
      <c r="G1132" s="51">
        <v>14</v>
      </c>
      <c r="H1132" s="51" t="s">
        <v>1559</v>
      </c>
      <c r="I1132" s="26" t="s">
        <v>187</v>
      </c>
    </row>
    <row r="1133" spans="1:9" x14ac:dyDescent="0.25">
      <c r="A1133" s="49" t="s">
        <v>62</v>
      </c>
      <c r="B1133" s="50">
        <v>45756</v>
      </c>
      <c r="C1133" s="50">
        <v>45757</v>
      </c>
      <c r="D1133" s="50">
        <v>45818</v>
      </c>
      <c r="E1133" s="49" t="s">
        <v>1536</v>
      </c>
      <c r="F1133" s="49" t="s">
        <v>9</v>
      </c>
      <c r="G1133" s="51">
        <v>7</v>
      </c>
      <c r="H1133" s="51" t="s">
        <v>1560</v>
      </c>
      <c r="I1133" s="26" t="s">
        <v>187</v>
      </c>
    </row>
    <row r="1134" spans="1:9" x14ac:dyDescent="0.25">
      <c r="A1134" s="49" t="s">
        <v>62</v>
      </c>
      <c r="B1134" s="50">
        <v>45756</v>
      </c>
      <c r="C1134" s="50">
        <v>45757</v>
      </c>
      <c r="D1134" s="50">
        <v>45818</v>
      </c>
      <c r="E1134" s="49" t="s">
        <v>1536</v>
      </c>
      <c r="F1134" s="49" t="s">
        <v>9</v>
      </c>
      <c r="G1134" s="51">
        <v>11</v>
      </c>
      <c r="H1134" s="51" t="s">
        <v>1561</v>
      </c>
      <c r="I1134" s="26" t="s">
        <v>187</v>
      </c>
    </row>
    <row r="1135" spans="1:9" x14ac:dyDescent="0.25">
      <c r="A1135" s="49" t="s">
        <v>62</v>
      </c>
      <c r="B1135" s="50">
        <v>45756</v>
      </c>
      <c r="C1135" s="50">
        <v>45757</v>
      </c>
      <c r="D1135" s="50">
        <v>45818</v>
      </c>
      <c r="E1135" s="49" t="s">
        <v>1536</v>
      </c>
      <c r="F1135" s="49" t="s">
        <v>9</v>
      </c>
      <c r="G1135" s="51">
        <v>12</v>
      </c>
      <c r="H1135" s="51" t="s">
        <v>1562</v>
      </c>
      <c r="I1135" s="26" t="s">
        <v>187</v>
      </c>
    </row>
    <row r="1136" spans="1:9" x14ac:dyDescent="0.25">
      <c r="A1136" s="49" t="s">
        <v>62</v>
      </c>
      <c r="B1136" s="50">
        <v>45756</v>
      </c>
      <c r="C1136" s="50">
        <v>45757</v>
      </c>
      <c r="D1136" s="50">
        <v>45818</v>
      </c>
      <c r="E1136" s="49" t="s">
        <v>1536</v>
      </c>
      <c r="F1136" s="49" t="s">
        <v>9</v>
      </c>
      <c r="G1136" s="51">
        <v>15</v>
      </c>
      <c r="H1136" s="51" t="s">
        <v>1563</v>
      </c>
      <c r="I1136" s="26" t="s">
        <v>187</v>
      </c>
    </row>
    <row r="1137" spans="1:9" x14ac:dyDescent="0.25">
      <c r="A1137" s="49" t="s">
        <v>62</v>
      </c>
      <c r="B1137" s="50">
        <v>45756</v>
      </c>
      <c r="C1137" s="50">
        <v>45757</v>
      </c>
      <c r="D1137" s="50">
        <v>45818</v>
      </c>
      <c r="E1137" s="49" t="s">
        <v>1536</v>
      </c>
      <c r="F1137" s="49" t="s">
        <v>9</v>
      </c>
      <c r="G1137" s="51">
        <v>12</v>
      </c>
      <c r="H1137" s="51" t="s">
        <v>1564</v>
      </c>
      <c r="I1137" s="26" t="s">
        <v>187</v>
      </c>
    </row>
    <row r="1138" spans="1:9" x14ac:dyDescent="0.25">
      <c r="A1138" s="49" t="s">
        <v>62</v>
      </c>
      <c r="B1138" s="50">
        <v>45756</v>
      </c>
      <c r="C1138" s="50">
        <v>45757</v>
      </c>
      <c r="D1138" s="50">
        <v>45818</v>
      </c>
      <c r="E1138" s="49" t="s">
        <v>1536</v>
      </c>
      <c r="F1138" s="49" t="s">
        <v>9</v>
      </c>
      <c r="G1138" s="51">
        <v>10</v>
      </c>
      <c r="H1138" s="51" t="s">
        <v>1565</v>
      </c>
      <c r="I1138" s="26" t="s">
        <v>187</v>
      </c>
    </row>
    <row r="1139" spans="1:9" x14ac:dyDescent="0.25">
      <c r="A1139" s="49" t="s">
        <v>62</v>
      </c>
      <c r="B1139" s="50">
        <v>45756</v>
      </c>
      <c r="C1139" s="50">
        <v>45757</v>
      </c>
      <c r="D1139" s="50">
        <v>45818</v>
      </c>
      <c r="E1139" s="49" t="s">
        <v>1536</v>
      </c>
      <c r="F1139" s="49" t="s">
        <v>9</v>
      </c>
      <c r="G1139" s="51">
        <v>19</v>
      </c>
      <c r="H1139" s="51" t="s">
        <v>1566</v>
      </c>
      <c r="I1139" s="26" t="s">
        <v>187</v>
      </c>
    </row>
    <row r="1140" spans="1:9" x14ac:dyDescent="0.25">
      <c r="A1140" s="49" t="s">
        <v>62</v>
      </c>
      <c r="B1140" s="50">
        <v>45756</v>
      </c>
      <c r="C1140" s="50">
        <v>45757</v>
      </c>
      <c r="D1140" s="50">
        <v>45818</v>
      </c>
      <c r="E1140" s="49" t="s">
        <v>1536</v>
      </c>
      <c r="F1140" s="49" t="s">
        <v>9</v>
      </c>
      <c r="G1140" s="51">
        <v>14</v>
      </c>
      <c r="H1140" s="51" t="s">
        <v>1567</v>
      </c>
      <c r="I1140" s="26" t="s">
        <v>187</v>
      </c>
    </row>
    <row r="1141" spans="1:9" x14ac:dyDescent="0.25">
      <c r="A1141" s="49" t="s">
        <v>861</v>
      </c>
      <c r="B1141" s="50">
        <v>45756</v>
      </c>
      <c r="C1141" s="50">
        <v>45757</v>
      </c>
      <c r="D1141" s="50">
        <v>45817</v>
      </c>
      <c r="E1141" s="49" t="s">
        <v>1536</v>
      </c>
      <c r="F1141" s="49" t="s">
        <v>8</v>
      </c>
      <c r="G1141" s="51">
        <v>3</v>
      </c>
      <c r="H1141" s="51" t="s">
        <v>1568</v>
      </c>
      <c r="I1141" s="26" t="s">
        <v>187</v>
      </c>
    </row>
    <row r="1142" spans="1:9" x14ac:dyDescent="0.25">
      <c r="A1142" s="49" t="s">
        <v>861</v>
      </c>
      <c r="B1142" s="50">
        <v>45756</v>
      </c>
      <c r="C1142" s="50">
        <v>45757</v>
      </c>
      <c r="D1142" s="50">
        <v>45817</v>
      </c>
      <c r="E1142" s="49" t="s">
        <v>1536</v>
      </c>
      <c r="F1142" s="49" t="s">
        <v>8</v>
      </c>
      <c r="G1142" s="51">
        <v>3</v>
      </c>
      <c r="H1142" s="51" t="s">
        <v>1569</v>
      </c>
      <c r="I1142" s="26" t="s">
        <v>187</v>
      </c>
    </row>
    <row r="1143" spans="1:9" x14ac:dyDescent="0.25">
      <c r="A1143" s="49" t="s">
        <v>861</v>
      </c>
      <c r="B1143" s="50">
        <v>45756</v>
      </c>
      <c r="C1143" s="50">
        <v>45757</v>
      </c>
      <c r="D1143" s="50">
        <v>45826</v>
      </c>
      <c r="E1143" s="49" t="s">
        <v>1536</v>
      </c>
      <c r="F1143" s="49" t="s">
        <v>8</v>
      </c>
      <c r="G1143" s="51">
        <v>1</v>
      </c>
      <c r="H1143" s="51" t="s">
        <v>1570</v>
      </c>
      <c r="I1143" s="26" t="s">
        <v>187</v>
      </c>
    </row>
    <row r="1144" spans="1:9" x14ac:dyDescent="0.25">
      <c r="A1144" s="49" t="s">
        <v>861</v>
      </c>
      <c r="B1144" s="50">
        <v>45756</v>
      </c>
      <c r="C1144" s="50">
        <v>45757</v>
      </c>
      <c r="D1144" s="50">
        <v>45817</v>
      </c>
      <c r="E1144" s="49" t="s">
        <v>1536</v>
      </c>
      <c r="F1144" s="49" t="s">
        <v>8</v>
      </c>
      <c r="G1144" s="51">
        <v>8</v>
      </c>
      <c r="H1144" s="51" t="s">
        <v>1571</v>
      </c>
      <c r="I1144" s="26" t="s">
        <v>187</v>
      </c>
    </row>
    <row r="1145" spans="1:9" x14ac:dyDescent="0.25">
      <c r="A1145" s="49" t="s">
        <v>861</v>
      </c>
      <c r="B1145" s="50">
        <v>45756</v>
      </c>
      <c r="C1145" s="50">
        <v>45757</v>
      </c>
      <c r="D1145" s="50">
        <v>45817</v>
      </c>
      <c r="E1145" s="49" t="s">
        <v>1536</v>
      </c>
      <c r="F1145" s="49" t="s">
        <v>8</v>
      </c>
      <c r="G1145" s="51">
        <v>2</v>
      </c>
      <c r="H1145" s="51" t="s">
        <v>1572</v>
      </c>
      <c r="I1145" s="26" t="s">
        <v>187</v>
      </c>
    </row>
    <row r="1146" spans="1:9" x14ac:dyDescent="0.25">
      <c r="A1146" s="49" t="s">
        <v>861</v>
      </c>
      <c r="B1146" s="50">
        <v>45756</v>
      </c>
      <c r="C1146" s="50">
        <v>45757</v>
      </c>
      <c r="D1146" s="50">
        <v>45817</v>
      </c>
      <c r="E1146" s="49" t="s">
        <v>1536</v>
      </c>
      <c r="F1146" s="49" t="s">
        <v>8</v>
      </c>
      <c r="G1146" s="51">
        <v>16</v>
      </c>
      <c r="H1146" s="51" t="s">
        <v>1573</v>
      </c>
      <c r="I1146" s="26" t="s">
        <v>187</v>
      </c>
    </row>
    <row r="1147" spans="1:9" x14ac:dyDescent="0.25">
      <c r="A1147" s="49" t="s">
        <v>861</v>
      </c>
      <c r="B1147" s="50">
        <v>45756</v>
      </c>
      <c r="C1147" s="50">
        <v>45757</v>
      </c>
      <c r="D1147" s="50">
        <v>45817</v>
      </c>
      <c r="E1147" s="49" t="s">
        <v>1536</v>
      </c>
      <c r="F1147" s="49" t="s">
        <v>8</v>
      </c>
      <c r="G1147" s="51">
        <v>8</v>
      </c>
      <c r="H1147" s="51" t="s">
        <v>1574</v>
      </c>
      <c r="I1147" s="26" t="s">
        <v>187</v>
      </c>
    </row>
    <row r="1148" spans="1:9" x14ac:dyDescent="0.25">
      <c r="A1148" s="49" t="s">
        <v>861</v>
      </c>
      <c r="B1148" s="50">
        <v>45756</v>
      </c>
      <c r="C1148" s="50">
        <v>45757</v>
      </c>
      <c r="D1148" s="50">
        <v>45817</v>
      </c>
      <c r="E1148" s="49" t="s">
        <v>1536</v>
      </c>
      <c r="F1148" s="49" t="s">
        <v>8</v>
      </c>
      <c r="G1148" s="51">
        <v>3</v>
      </c>
      <c r="H1148" s="51" t="s">
        <v>1575</v>
      </c>
      <c r="I1148" s="26" t="s">
        <v>187</v>
      </c>
    </row>
    <row r="1149" spans="1:9" x14ac:dyDescent="0.25">
      <c r="A1149" s="49" t="s">
        <v>861</v>
      </c>
      <c r="B1149" s="50">
        <v>45756</v>
      </c>
      <c r="C1149" s="50">
        <v>45757</v>
      </c>
      <c r="D1149" s="50">
        <v>45817</v>
      </c>
      <c r="E1149" s="49" t="s">
        <v>1536</v>
      </c>
      <c r="F1149" s="49" t="s">
        <v>8</v>
      </c>
      <c r="G1149" s="51">
        <v>5</v>
      </c>
      <c r="H1149" s="51" t="s">
        <v>1576</v>
      </c>
      <c r="I1149" s="26" t="s">
        <v>187</v>
      </c>
    </row>
    <row r="1150" spans="1:9" x14ac:dyDescent="0.25">
      <c r="A1150" s="49" t="s">
        <v>861</v>
      </c>
      <c r="B1150" s="50">
        <v>45756</v>
      </c>
      <c r="C1150" s="50">
        <v>45757</v>
      </c>
      <c r="D1150" s="50">
        <v>45817</v>
      </c>
      <c r="E1150" s="49" t="s">
        <v>1536</v>
      </c>
      <c r="F1150" s="49" t="s">
        <v>8</v>
      </c>
      <c r="G1150" s="51">
        <v>11</v>
      </c>
      <c r="H1150" s="51" t="s">
        <v>1577</v>
      </c>
      <c r="I1150" s="26" t="s">
        <v>187</v>
      </c>
    </row>
    <row r="1151" spans="1:9" x14ac:dyDescent="0.25">
      <c r="A1151" s="49" t="s">
        <v>861</v>
      </c>
      <c r="B1151" s="50">
        <v>45756</v>
      </c>
      <c r="C1151" s="50">
        <v>45757</v>
      </c>
      <c r="D1151" s="50">
        <v>45817</v>
      </c>
      <c r="E1151" s="49" t="s">
        <v>1536</v>
      </c>
      <c r="F1151" s="49" t="s">
        <v>8</v>
      </c>
      <c r="G1151" s="51">
        <v>2</v>
      </c>
      <c r="H1151" s="51" t="s">
        <v>1578</v>
      </c>
      <c r="I1151" s="26" t="s">
        <v>187</v>
      </c>
    </row>
    <row r="1152" spans="1:9" x14ac:dyDescent="0.25">
      <c r="A1152" s="49" t="s">
        <v>861</v>
      </c>
      <c r="B1152" s="50">
        <v>45756</v>
      </c>
      <c r="C1152" s="50">
        <v>45757</v>
      </c>
      <c r="D1152" s="50">
        <v>45817</v>
      </c>
      <c r="E1152" s="49" t="s">
        <v>1536</v>
      </c>
      <c r="F1152" s="49" t="s">
        <v>8</v>
      </c>
      <c r="G1152" s="51">
        <v>5</v>
      </c>
      <c r="H1152" s="51" t="s">
        <v>1579</v>
      </c>
      <c r="I1152" s="26" t="s">
        <v>187</v>
      </c>
    </row>
    <row r="1153" spans="1:9" x14ac:dyDescent="0.25">
      <c r="A1153" s="49" t="s">
        <v>861</v>
      </c>
      <c r="B1153" s="50">
        <v>45756</v>
      </c>
      <c r="C1153" s="50">
        <v>45757</v>
      </c>
      <c r="D1153" s="50">
        <v>45817</v>
      </c>
      <c r="E1153" s="49" t="s">
        <v>1536</v>
      </c>
      <c r="F1153" s="49" t="s">
        <v>8</v>
      </c>
      <c r="G1153" s="51">
        <v>4</v>
      </c>
      <c r="H1153" s="51" t="s">
        <v>1580</v>
      </c>
      <c r="I1153" s="26" t="s">
        <v>187</v>
      </c>
    </row>
    <row r="1154" spans="1:9" x14ac:dyDescent="0.25">
      <c r="A1154" s="49" t="s">
        <v>861</v>
      </c>
      <c r="B1154" s="50">
        <v>45756</v>
      </c>
      <c r="C1154" s="50">
        <v>45757</v>
      </c>
      <c r="D1154" s="50">
        <v>45817</v>
      </c>
      <c r="E1154" s="49" t="s">
        <v>1536</v>
      </c>
      <c r="F1154" s="49" t="s">
        <v>8</v>
      </c>
      <c r="G1154" s="51">
        <v>2</v>
      </c>
      <c r="H1154" s="51" t="s">
        <v>1581</v>
      </c>
      <c r="I1154" s="26" t="s">
        <v>187</v>
      </c>
    </row>
    <row r="1155" spans="1:9" x14ac:dyDescent="0.25">
      <c r="A1155" s="49" t="s">
        <v>861</v>
      </c>
      <c r="B1155" s="50">
        <v>45756</v>
      </c>
      <c r="C1155" s="50">
        <v>45757</v>
      </c>
      <c r="D1155" s="50">
        <v>45817</v>
      </c>
      <c r="E1155" s="49" t="s">
        <v>1536</v>
      </c>
      <c r="F1155" s="49" t="s">
        <v>8</v>
      </c>
      <c r="G1155" s="51">
        <v>3</v>
      </c>
      <c r="H1155" s="51" t="s">
        <v>1582</v>
      </c>
      <c r="I1155" s="26" t="s">
        <v>187</v>
      </c>
    </row>
    <row r="1156" spans="1:9" x14ac:dyDescent="0.25">
      <c r="A1156" s="49" t="s">
        <v>6</v>
      </c>
      <c r="B1156" s="50">
        <v>45758</v>
      </c>
      <c r="C1156" s="50">
        <v>45758</v>
      </c>
      <c r="D1156" s="50">
        <v>45818</v>
      </c>
      <c r="E1156" s="49" t="s">
        <v>1583</v>
      </c>
      <c r="F1156" s="49" t="s">
        <v>9</v>
      </c>
      <c r="G1156" s="51">
        <v>2</v>
      </c>
      <c r="H1156" s="51" t="s">
        <v>1115</v>
      </c>
      <c r="I1156" s="26" t="s">
        <v>189</v>
      </c>
    </row>
    <row r="1157" spans="1:9" x14ac:dyDescent="0.25">
      <c r="A1157" s="49" t="s">
        <v>23</v>
      </c>
      <c r="B1157" s="50">
        <v>45761</v>
      </c>
      <c r="C1157" s="50">
        <v>45761</v>
      </c>
      <c r="D1157" s="50">
        <v>45810</v>
      </c>
      <c r="E1157" s="49" t="s">
        <v>1584</v>
      </c>
      <c r="F1157" s="49" t="s">
        <v>9</v>
      </c>
      <c r="G1157" s="51">
        <v>102</v>
      </c>
      <c r="H1157" s="51" t="s">
        <v>1585</v>
      </c>
      <c r="I1157" s="26" t="s">
        <v>177</v>
      </c>
    </row>
    <row r="1158" spans="1:9" x14ac:dyDescent="0.25">
      <c r="A1158" s="49" t="s">
        <v>23</v>
      </c>
      <c r="B1158" s="50">
        <v>45761</v>
      </c>
      <c r="C1158" s="50">
        <v>45761</v>
      </c>
      <c r="D1158" s="50">
        <v>45839</v>
      </c>
      <c r="E1158" s="49" t="s">
        <v>1586</v>
      </c>
      <c r="F1158" s="49" t="s">
        <v>8</v>
      </c>
      <c r="G1158" s="51">
        <v>8</v>
      </c>
      <c r="H1158" s="51" t="s">
        <v>1587</v>
      </c>
      <c r="I1158" s="26" t="s">
        <v>188</v>
      </c>
    </row>
    <row r="1159" spans="1:9" x14ac:dyDescent="0.25">
      <c r="A1159" s="49" t="s">
        <v>5</v>
      </c>
      <c r="B1159" s="50">
        <v>45761</v>
      </c>
      <c r="C1159" s="50">
        <v>45761</v>
      </c>
      <c r="D1159" s="50">
        <v>45827</v>
      </c>
      <c r="E1159" s="49" t="s">
        <v>1588</v>
      </c>
      <c r="F1159" s="49" t="s">
        <v>322</v>
      </c>
      <c r="G1159" s="51">
        <v>35</v>
      </c>
      <c r="H1159" s="51" t="s">
        <v>1589</v>
      </c>
      <c r="I1159" s="26" t="s">
        <v>190</v>
      </c>
    </row>
    <row r="1160" spans="1:9" x14ac:dyDescent="0.25">
      <c r="A1160" s="49" t="s">
        <v>21</v>
      </c>
      <c r="B1160" s="50">
        <v>45761</v>
      </c>
      <c r="C1160" s="50">
        <v>45761</v>
      </c>
      <c r="D1160" s="50">
        <v>45827</v>
      </c>
      <c r="E1160" s="49" t="s">
        <v>1588</v>
      </c>
      <c r="F1160" s="49" t="s">
        <v>322</v>
      </c>
      <c r="G1160" s="51">
        <v>58</v>
      </c>
      <c r="H1160" s="51" t="s">
        <v>1590</v>
      </c>
      <c r="I1160" s="26" t="s">
        <v>190</v>
      </c>
    </row>
    <row r="1161" spans="1:9" x14ac:dyDescent="0.25">
      <c r="A1161" s="49" t="s">
        <v>84</v>
      </c>
      <c r="B1161" s="50">
        <v>45754</v>
      </c>
      <c r="C1161" s="50">
        <v>45761</v>
      </c>
      <c r="D1161" s="50">
        <v>45772</v>
      </c>
      <c r="E1161" s="49" t="s">
        <v>1591</v>
      </c>
      <c r="F1161" s="49" t="s">
        <v>8</v>
      </c>
      <c r="G1161" s="51">
        <v>48</v>
      </c>
      <c r="H1161" s="51" t="s">
        <v>1592</v>
      </c>
      <c r="I1161" s="26" t="s">
        <v>177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I3:I1161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34</v>
      </c>
    </row>
    <row r="2" spans="1:2" x14ac:dyDescent="0.25">
      <c r="A2" s="15" t="s">
        <v>20</v>
      </c>
      <c r="B2" s="23" t="s">
        <v>19</v>
      </c>
    </row>
    <row r="3" spans="1:2" x14ac:dyDescent="0.25">
      <c r="A3" s="17" t="s">
        <v>24</v>
      </c>
      <c r="B3" s="24">
        <f>SUM('Call Center Relocations Report'!G:G)</f>
        <v>163</v>
      </c>
    </row>
    <row r="4" spans="1:2" x14ac:dyDescent="0.25">
      <c r="A4" s="17" t="s">
        <v>13</v>
      </c>
      <c r="B4" s="24">
        <f>COUNTIF('Call Center Relocations Report'!F:F,"Layoff Permanent")</f>
        <v>1</v>
      </c>
    </row>
    <row r="5" spans="1:2" x14ac:dyDescent="0.25">
      <c r="A5" s="17" t="s">
        <v>14</v>
      </c>
      <c r="B5" s="24">
        <f>COUNTIF('Call Center Relocations Report'!F:F,"Layoff Temporary")</f>
        <v>0</v>
      </c>
    </row>
    <row r="6" spans="1:2" x14ac:dyDescent="0.25">
      <c r="A6" s="17" t="s">
        <v>15</v>
      </c>
      <c r="B6" s="24">
        <f>COUNTIF('Call Center Relocations Report'!F:F,"Layoff Not Identified")</f>
        <v>0</v>
      </c>
    </row>
    <row r="7" spans="1:2" x14ac:dyDescent="0.25">
      <c r="A7" s="17" t="s">
        <v>16</v>
      </c>
      <c r="B7" s="24">
        <f>COUNTIF('Call Center Relocations Report'!F:F,"Closure Permanent")</f>
        <v>0</v>
      </c>
    </row>
    <row r="8" spans="1:2" x14ac:dyDescent="0.25">
      <c r="A8" s="17" t="s">
        <v>17</v>
      </c>
      <c r="B8" s="24">
        <f>COUNTIF('Call Center Relocations Report'!F:F,"Closure Temporary")</f>
        <v>0</v>
      </c>
    </row>
    <row r="9" spans="1:2" x14ac:dyDescent="0.2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26.28515625" bestFit="1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110.25" x14ac:dyDescent="0.25">
      <c r="A1" s="25" t="s">
        <v>1544</v>
      </c>
      <c r="E1"/>
    </row>
    <row r="2" spans="1:8" ht="24.75" x14ac:dyDescent="0.2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173</v>
      </c>
    </row>
    <row r="2" spans="1:1" x14ac:dyDescent="0.25">
      <c r="A2" t="s">
        <v>174</v>
      </c>
    </row>
    <row r="3" spans="1:1" x14ac:dyDescent="0.25">
      <c r="A3" t="s">
        <v>175</v>
      </c>
    </row>
    <row r="4" spans="1:1" x14ac:dyDescent="0.25">
      <c r="A4" t="s">
        <v>176</v>
      </c>
    </row>
    <row r="5" spans="1:1" x14ac:dyDescent="0.25">
      <c r="A5" t="s">
        <v>177</v>
      </c>
    </row>
    <row r="6" spans="1:1" x14ac:dyDescent="0.25">
      <c r="A6" t="s">
        <v>178</v>
      </c>
    </row>
    <row r="7" spans="1:1" x14ac:dyDescent="0.25">
      <c r="A7" t="s">
        <v>179</v>
      </c>
    </row>
    <row r="8" spans="1:1" x14ac:dyDescent="0.25">
      <c r="A8" t="s">
        <v>180</v>
      </c>
    </row>
    <row r="9" spans="1:1" x14ac:dyDescent="0.25">
      <c r="A9" t="s">
        <v>181</v>
      </c>
    </row>
    <row r="10" spans="1:1" x14ac:dyDescent="0.25">
      <c r="A10" t="s">
        <v>182</v>
      </c>
    </row>
    <row r="11" spans="1:1" x14ac:dyDescent="0.25">
      <c r="A11" t="s">
        <v>183</v>
      </c>
    </row>
    <row r="12" spans="1:1" x14ac:dyDescent="0.25">
      <c r="A12" t="s">
        <v>184</v>
      </c>
    </row>
    <row r="13" spans="1:1" x14ac:dyDescent="0.25">
      <c r="A13" t="s">
        <v>185</v>
      </c>
    </row>
    <row r="14" spans="1:1" x14ac:dyDescent="0.25">
      <c r="A14" t="s">
        <v>186</v>
      </c>
    </row>
    <row r="15" spans="1:1" x14ac:dyDescent="0.25">
      <c r="A15" t="s">
        <v>187</v>
      </c>
    </row>
    <row r="16" spans="1:1" x14ac:dyDescent="0.25">
      <c r="A16" t="s">
        <v>188</v>
      </c>
    </row>
    <row r="17" spans="1:1" x14ac:dyDescent="0.25">
      <c r="A17" t="s">
        <v>189</v>
      </c>
    </row>
    <row r="18" spans="1:1" x14ac:dyDescent="0.25">
      <c r="A18" t="s">
        <v>190</v>
      </c>
    </row>
    <row r="19" spans="1:1" x14ac:dyDescent="0.25">
      <c r="A19" t="s">
        <v>191</v>
      </c>
    </row>
    <row r="20" spans="1:1" x14ac:dyDescent="0.25">
      <c r="A20" t="s">
        <v>192</v>
      </c>
    </row>
    <row r="21" spans="1:1" x14ac:dyDescent="0.25">
      <c r="A21" t="s">
        <v>193</v>
      </c>
    </row>
    <row r="22" spans="1:1" x14ac:dyDescent="0.2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2025-04-15T15:32:10Z</dcterms:modified>
  <cp:category>Calculating WARN Report</cp:category>
</cp:coreProperties>
</file>