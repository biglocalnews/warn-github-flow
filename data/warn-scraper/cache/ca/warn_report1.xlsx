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choa2\Documents\Web Testing\DAT VR Results\RID1547-WARN_Report1\"/>
    </mc:Choice>
  </mc:AlternateContent>
  <xr:revisionPtr revIDLastSave="0" documentId="13_ncr:1_{59E0E291-61AF-4899-924B-632A0ED84E0A}" xr6:coauthVersionLast="47" xr6:coauthVersionMax="47" xr10:uidLastSave="{00000000-0000-0000-0000-000000000000}"/>
  <bookViews>
    <workbookView xWindow="-120" yWindow="-120" windowWidth="29040" windowHeight="1584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<sst xmlns="http://schemas.openxmlformats.org/spreadsheetml/2006/main" count="851" uniqueCount="363">
  <si>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</si>
  <si>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</si>
  <si>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</si>
  <si>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</si>
  <si>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</si>
  <si>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</si>
  <si>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</si>
  <si>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</si>
  <si>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</si>
  <si>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</si>
  <si>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</si>
  <si>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</si>
  <si>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</si>
  <si>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</si>
  <si>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</si>
  <si>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</si>
  <si>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</si>
  <si>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</si>
  <si>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</si>
  <si>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</si>
  <si>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</si>
  <si>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</si>
  <si>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</si>
  <si>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</si>
  <si>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</si>
  <si>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</si>
  <si>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</si>
  <si>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</si>
  <si>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</si>
  <si>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</si>
  <si>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</si>
  <si>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</si>
  <si>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</si>
  <si>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</si>
  <si>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</si>
  <si>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</si>
  <si>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</si>
  <si>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</si>
  <si>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</si>
  <si>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</si>
  <si>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</si>
  <si>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</si>
  <si>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</si>
  <si>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</si>
  <si>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</si>
  <si>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</si>
  <si>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</si>
  <si>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</si>
  <si>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</si>
  <si>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</si>
  <si>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</si>
  <si>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</si>
  <si>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</si>
  <si>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</si>
  <si>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</si>
  <si>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</si>
  <si>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</si>
  <si>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</si>
  <si>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</si>
  <si>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</si>
  <si>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</si>
  <si>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</si>
  <si>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</si>
  <si>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</si>
  <si>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</si>
  <si>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</si>
  <si>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</si>
  <si>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</si>
  <si>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</si>
  <si>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</si>
  <si>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</si>
  <si>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</si>
  <si>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</si>
  <si>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</si>
  <si>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</si>
  <si>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</si>
  <si>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</si>
  <si>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</si>
  <si>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</si>
  <si>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</si>
  <si>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</si>
  <si>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</si>
  <si>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</si>
  <si>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</si>
  <si>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</si>
  <si>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</si>
  <si>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</si>
  <si>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</si>
  <si>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</si>
  <si>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</si>
  <si>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</si>
  <si>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</si>
  <si>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</si>
  <si>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</si>
  <si>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</si>
  <si>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</si>
  <si>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</si>
  <si>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</si>
  <si>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</si>
  <si>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</si>
  <si>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</si>
  <si>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</si>
  <si>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</si>
  <si>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</si>
  <si>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</si>
  <si>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</si>
  <si>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</si>
  <si>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</si>
  <si>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</si>
  <si>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</si>
  <si>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</si>
  <si>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</si>
  <si>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</si>
  <si>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</si>
  <si>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</si>
  <si>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</si>
  <si>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</si>
  <si>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</si>
  <si>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</si>
  <si>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</si>
  <si>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</si>
  <si>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</si>
  <si>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</si>
  <si>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</si>
  <si>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</si>
  <si>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</si>
  <si>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</si>
  <si>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</si>
  <si>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</si>
  <si>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</si>
  <si>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</si>
  <si>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</si>
  <si>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</si>
  <si>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</si>
  <si>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</si>
  <si>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</si>
  <si>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</si>
  <si>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</si>
  <si>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</si>
  <si>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</si>
  <si>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</si>
  <si>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</si>
  <si>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</si>
  <si>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</si>
  <si>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</si>
  <si>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</si>
  <si>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</si>
  <si>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</si>
  <si>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</si>
  <si>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</si>
  <si>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</si>
  <si>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</si>
  <si>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</si>
  <si>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</si>
  <si>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</si>
  <si>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</si>
  <si>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</si>
  <si>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</si>
  <si>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</si>
  <si>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</si>
  <si>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</si>
  <si>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</si>
  <si>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</si>
  <si>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</si>
  <si>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</si>
  <si>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</si>
  <si>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</si>
  <si>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</si>
  <si>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</si>
  <si>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</si>
  <si>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</si>
  <si>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</si>
  <si>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</si>
  <si>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</si>
  <si>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</si>
  <si>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</si>
  <si>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</si>
  <si>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</si>
  <si>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</si>
  <si>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</si>
  <si>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</si>
  <si>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</si>
  <si>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</si>
  <si>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</si>
  <si>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</si>
  <si>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</si>
  <si>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</si>
  <si>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</si>
  <si>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</si>
  <si>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</si>
  <si>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</si>
  <si>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</si>
  <si>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</si>
  <si>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</si>
  <si>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</si>
  <si>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</si>
  <si>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</si>
  <si>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</si>
  <si>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</si>
  <si>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</si>
  <si>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</si>
  <si>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</si>
  <si>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</si>
  <si>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</si>
  <si>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</si>
  <si>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</si>
  <si>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</si>
  <si>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</si>
  <si>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</si>
  <si>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</si>
  <si>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</si>
  <si>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</si>
  <si>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</si>
  <si>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</si>
  <si>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</si>
  <si>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</si>
  <si>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</si>
  <si>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</si>
  <si>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</si>
  <si>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</si>
  <si>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</si>
  <si>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</si>
  <si>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</si>
  <si>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</si>
  <si>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</si>
  <si>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</si>
  <si>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</si>
  <si>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</si>
  <si>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</si>
  <si>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</si>
  <si>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</si>
  <si>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</si>
  <si>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</si>
  <si>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</si>
  <si>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</si>
  <si>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</si>
  <si>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</si>
  <si>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</si>
  <si>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</si>
  <si>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</si>
  <si>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</si>
  <si>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</si>
  <si>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</si>
  <si>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</si>
  <si>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</si>
  <si>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</si>
  <si>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</si>
  <si>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</si>
  <si>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</si>
  <si>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</si>
  <si>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</si>
  <si>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</si>
  <si>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</si>
  <si>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</si>
  <si>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</si>
  <si>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</si>
  <si>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</si>
  <si>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</si>
  <si>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</si>
  <si>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</si>
  <si>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</si>
  <si>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</si>
  <si>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</si>
  <si>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</si>
  <si>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</si>
  <si>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</si>
  <si>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</si>
  <si>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</si>
  <si>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</si>
  <si>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</si>
  <si>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</si>
  <si>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</si>
  <si>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</si>
  <si>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</si>
  <si>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</si>
  <si>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</si>
  <si>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</si>
  <si>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</si>
  <si>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</si>
  <si>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</si>
  <si>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</si>
  <si>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</si>
  <si>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</si>
  <si>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</si>
  <si>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</si>
  <si>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</si>
  <si>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</si>
  <si>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</si>
  <si>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</si>
  <si>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</si>
  <si>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</si>
  <si>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</si>
  <si>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</si>
  <si>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</si>
  <si>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</si>
  <si>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</si>
  <si>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</si>
  <si>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</si>
  <si>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</si>
  <si>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</si>
  <si>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</si>
  <si>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</si>
  <si>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</si>
  <si>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</si>
  <si>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</si>
  <si>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</si>
  <si>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</si>
  <si>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</si>
  <si>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</si>
  <si>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</si>
  <si>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</si>
  <si>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</si>
  <si>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</si>
  <si>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</si>
  <si>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</si>
  <si>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</si>
  <si>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</si>
  <si>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</si>
  <si>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</si>
  <si>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</si>
  <si>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</si>
  <si>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</si>
  <si>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</si>
  <si>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</si>
  <si>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</si>
  <si>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</si>
  <si>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</si>
  <si>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</si>
  <si>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</si>
  <si>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</si>
  <si>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</si>
  <si>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</si>
  <si>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</si>
  <si>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</si>
  <si>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</si>
  <si>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</si>
  <si>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</si>
  <si>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</si>
  <si>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</si>
  <si>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</si>
  <si>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</si>
  <si>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</si>
  <si>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</si>
  <si>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</si>
  <si>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</si>
  <si>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</si>
  <si>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</si>
  <si>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</si>
  <si>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</si>
  <si>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</si>
  <si>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</si>
  <si>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</si>
  <si>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</si>
  <si>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</si>
  <si>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</si>
  <si>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</si>
  <si>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</si>
  <si>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</si>
  <si>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</si>
  <si>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</si>
  <si>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</si>
  <si>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</si>
  <si>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r>
      <t xml:space="preserve">WARN REPORT - </t>
    </r>
    <r>
      <rPr>
        <b/>
        <sz val="12"/>
        <rFont val="Calibri"/>
        <family val="2"/>
        <scheme val="minor"/>
      </rPr>
      <t>07/01/23 to 09/11/23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H209.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</si>
</sst>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209" totalsRowShown="0" headerRowDxfId="11" headerRowBorderDxfId="10" tableBorderDxfId="9" totalsRowBorderDxfId="8">
  <autoFilter ref="A2:H209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5" x14ac:dyDescent="0.25"/>
  <cols>
    <col min="1" max="1" width="66.140625" customWidth="1"/>
  </cols>
  <sheetData>
    <row r="1" spans="1:1" ht="105" x14ac:dyDescent="0.25">
      <c r="A1" s="2" t="s">
        <v>348</v>
      </c>
    </row>
    <row r="2" spans="1:1" ht="21" x14ac:dyDescent="0.35">
      <c r="A2" s="9" t="s">
        <v>155</v>
      </c>
    </row>
    <row r="3" spans="1:1" x14ac:dyDescent="0.25">
      <c r="A3" s="10" t="s">
        <v>153</v>
      </c>
    </row>
    <row r="4" spans="1:1" x14ac:dyDescent="0.25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2" t="s">
        <v>347</v>
      </c>
    </row>
    <row r="2" spans="1:2" x14ac:dyDescent="0.25">
      <c r="A2" s="4" t="s">
        <v>28</v>
      </c>
      <c r="B2" s="5" t="s">
        <v>27</v>
      </c>
    </row>
    <row r="3" spans="1:2" x14ac:dyDescent="0.25">
      <c r="A3" s="3" t="s">
        <v>152</v>
      </c>
      <c r="B3" s="6">
        <f>SUM('Detailed WARN Report '!G:G)</f>
        <v>11238</v>
      </c>
    </row>
    <row r="4" spans="1:2" x14ac:dyDescent="0.25">
      <c r="A4" s="3" t="s">
        <v>21</v>
      </c>
      <c r="B4" s="6">
        <f>COUNTIF('Detailed WARN Report '!F:F,"Layoff Permanent")</f>
        <v>108</v>
      </c>
    </row>
    <row r="5" spans="1:2" x14ac:dyDescent="0.25">
      <c r="A5" s="3" t="s">
        <v>22</v>
      </c>
      <c r="B5" s="6">
        <f>COUNTIF('Detailed WARN Report '!F:F,"Layoff Temporary")</f>
        <v>2</v>
      </c>
    </row>
    <row r="6" spans="1:2" x14ac:dyDescent="0.25">
      <c r="A6" s="3" t="s">
        <v>23</v>
      </c>
      <c r="B6" s="6">
        <f>COUNTIF('Detailed WARN Report '!F:F,"Layoff Not Identified")</f>
        <v>0</v>
      </c>
    </row>
    <row r="7" spans="1:2" x14ac:dyDescent="0.25">
      <c r="A7" s="3" t="s">
        <v>24</v>
      </c>
      <c r="B7" s="6">
        <f>COUNTIF('Detailed WARN Report '!F:F,"Closure Permanent")</f>
        <v>94</v>
      </c>
    </row>
    <row r="8" spans="1:2" x14ac:dyDescent="0.25">
      <c r="A8" s="3" t="s">
        <v>25</v>
      </c>
      <c r="B8" s="6">
        <f>COUNTIF('Detailed WARN Report '!F:F,"Closure Temporary")</f>
        <v>3</v>
      </c>
    </row>
    <row r="9" spans="1:2" x14ac:dyDescent="0.25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209"/>
  <sheetViews>
    <sheetView zoomScaleNormal="100" workbookViewId="0"/>
  </sheetViews>
  <sheetFormatPr defaultColWidth="46" defaultRowHeight="15" x14ac:dyDescent="0.25"/>
  <cols>
    <col min="1" max="1" width="25.85546875" bestFit="1" customWidth="1"/>
    <col min="2" max="4" width="8.7109375" bestFit="1" customWidth="1"/>
    <col min="5" max="5" width="54.85546875" style="2" bestFit="1" customWidth="1"/>
    <col min="6" max="6" width="14.28515625" bestFit="1" customWidth="1"/>
    <col min="7" max="7" width="9.85546875" bestFit="1" customWidth="1"/>
    <col min="8" max="8" width="52.85546875" bestFit="1" customWidth="1"/>
  </cols>
  <sheetData>
    <row r="1" spans="1:8" ht="117" x14ac:dyDescent="0.25">
      <c r="A1" s="8" t="s">
        <v>362</v>
      </c>
      <c r="D1" s="7"/>
      <c r="E1" s="7"/>
      <c r="F1" s="7"/>
      <c r="G1" s="7"/>
      <c r="H1" s="7"/>
    </row>
    <row r="2" spans="1:8" s="1" customFormat="1" ht="24.75" x14ac:dyDescent="0.25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25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25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25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25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25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25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25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25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25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25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25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25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25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25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25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25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25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25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25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25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25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25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25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25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25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25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25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25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25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25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25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25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25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25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25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25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25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25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25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25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25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25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25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25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25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25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25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25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25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25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25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25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25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25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25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25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25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25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25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25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25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25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25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25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25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25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25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25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25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25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25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25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25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25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25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25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25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25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25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25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25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25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25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25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25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25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25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25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25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25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25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25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25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25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25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25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25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25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25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25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25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25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25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25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25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25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25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25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25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25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25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25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25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25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25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25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25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25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25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25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25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25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25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25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25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25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25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25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25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25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25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25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25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25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25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25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25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25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25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25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25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25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25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25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25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25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25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25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25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25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25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25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25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25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25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25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25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25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25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25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25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25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25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25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25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25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25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25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25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25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25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25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25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25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25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25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25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25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25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25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25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25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25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25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25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25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25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25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25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25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25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25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25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25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25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25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25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25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25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25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25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25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25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25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25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25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25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7B30132-FE9F-42B5-80C0-84081E76EB1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D0AB034-9D49-434D-B66A-864CC083AA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F1102D-7CFD-420C-84AE-7A62FA48FE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Ochoa, John@EDD</cp:lastModifiedBy>
  <dcterms:created xsi:type="dcterms:W3CDTF">2023-03-21T10:09:53Z</dcterms:created>
  <dcterms:modified xsi:type="dcterms:W3CDTF">2023-09-12T15:37:00Z</dcterms:modified>
  <cp:category>Calculating WARN Report</cp:category>
</cp:coreProperties>
</file>