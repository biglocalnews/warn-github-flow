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choa2\Desktop\Conditional Approvals\"/>
    </mc:Choice>
  </mc:AlternateContent>
  <xr:revisionPtr revIDLastSave="0" documentId="13_ncr:1_{713F8B14-6760-4F80-9A4D-4A031D8361D7}" xr6:coauthVersionLast="47" xr6:coauthVersionMax="47" xr10:uidLastSave="{00000000-0000-0000-0000-000000000000}"/>
  <bookViews>
    <workbookView xWindow="14310" yWindow="-16320" windowWidth="29040" windowHeight="1584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<sst xmlns="http://schemas.openxmlformats.org/spreadsheetml/2006/main" count="927" uniqueCount="392">
  <si>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</si>
  <si>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</si>
  <si>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</si>
  <si>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</si>
  <si>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</si>
  <si>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</si>
  <si>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</si>
  <si>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</si>
  <si>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</si>
  <si>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</si>
  <si>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</si>
  <si>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</si>
  <si>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</si>
  <si>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</si>
  <si>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</si>
  <si>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</si>
  <si>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</si>
  <si>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</si>
  <si>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</si>
  <si>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</si>
  <si>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</si>
  <si>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</si>
  <si>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</si>
  <si>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</si>
  <si>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</si>
  <si>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</si>
  <si>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</si>
  <si>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</si>
  <si>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</si>
  <si>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</si>
  <si>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</si>
  <si>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</si>
  <si>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</si>
  <si>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</si>
  <si>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</si>
  <si>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</si>
  <si>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</si>
  <si>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</si>
  <si>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</si>
  <si>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</si>
  <si>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</si>
  <si>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</si>
  <si>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</si>
  <si>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</si>
  <si>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</si>
  <si>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</si>
  <si>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</si>
  <si>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</si>
  <si>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</si>
  <si>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</si>
  <si>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</si>
  <si>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</si>
  <si>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</si>
  <si>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</si>
  <si>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</si>
  <si>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</si>
  <si>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</si>
  <si>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</si>
  <si>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</si>
  <si>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</si>
  <si>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</si>
  <si>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</si>
  <si>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</si>
  <si>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</si>
  <si>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</si>
  <si>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</si>
  <si>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</si>
  <si>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</si>
  <si>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</si>
  <si>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</si>
  <si>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</si>
  <si>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</si>
  <si>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</si>
  <si>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</si>
  <si>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</si>
  <si>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</si>
  <si>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</si>
  <si>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</si>
  <si>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</si>
  <si>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</si>
  <si>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</si>
  <si>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</si>
  <si>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</si>
  <si>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</si>
  <si>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</si>
  <si>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</si>
  <si>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</si>
  <si>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</si>
  <si>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</si>
  <si>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</si>
  <si>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</si>
  <si>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</si>
  <si>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</si>
  <si>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</si>
  <si>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</si>
  <si>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</si>
  <si>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</si>
  <si>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</si>
  <si>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</si>
  <si>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</si>
  <si>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</si>
  <si>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</si>
  <si>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</si>
  <si>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</si>
  <si>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</si>
  <si>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</si>
  <si>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</si>
  <si>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</si>
  <si>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</si>
  <si>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</si>
  <si>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</si>
  <si>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</si>
  <si>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</si>
  <si>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</si>
  <si>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</si>
  <si>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</si>
  <si>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</si>
  <si>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</si>
  <si>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</si>
  <si>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</si>
  <si>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</si>
  <si>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</si>
  <si>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</si>
  <si>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</si>
  <si>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</si>
  <si>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</si>
  <si>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</si>
  <si>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</si>
  <si>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</si>
  <si>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</si>
  <si>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</si>
  <si>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</si>
  <si>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</si>
  <si>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</si>
  <si>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</si>
  <si>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</si>
  <si>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</si>
  <si>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</si>
  <si>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</si>
  <si>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</si>
  <si>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</si>
  <si>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</si>
  <si>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</si>
  <si>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</si>
  <si>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</si>
  <si>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</si>
  <si>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</si>
  <si>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</si>
  <si>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</si>
  <si>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</si>
  <si>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</si>
  <si>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</si>
  <si>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</si>
  <si>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</si>
  <si>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</si>
  <si>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</si>
  <si>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</si>
  <si>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</si>
  <si>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</si>
  <si>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</si>
  <si>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</si>
  <si>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</si>
  <si>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</si>
  <si>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</si>
  <si>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</si>
  <si>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</si>
  <si>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</si>
  <si>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</si>
  <si>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</si>
  <si>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</si>
  <si>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</si>
  <si>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</si>
  <si>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</si>
  <si>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</si>
  <si>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</si>
  <si>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</si>
  <si>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</si>
  <si>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</si>
  <si>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</si>
  <si>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</si>
  <si>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</si>
  <si>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</si>
  <si>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</si>
  <si>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</si>
  <si>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</si>
  <si>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</si>
  <si>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</si>
  <si>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</si>
  <si>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</si>
  <si>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</si>
  <si>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</si>
  <si>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</si>
  <si>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</si>
  <si>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</si>
  <si>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</si>
  <si>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</si>
  <si>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</si>
  <si>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</si>
  <si>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</si>
  <si>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</si>
  <si>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</si>
  <si>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</si>
  <si>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</si>
  <si>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</si>
  <si>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</si>
  <si>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</si>
  <si>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</si>
  <si>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</si>
  <si>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</si>
  <si>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</si>
  <si>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</si>
  <si>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</si>
  <si>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</si>
  <si>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</si>
  <si>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</si>
  <si>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</si>
  <si>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</si>
  <si>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</si>
  <si>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</si>
  <si>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</si>
  <si>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</si>
  <si>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</si>
  <si>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</si>
  <si>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</si>
  <si>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</si>
  <si>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</si>
  <si>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</si>
  <si>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</si>
  <si>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</si>
  <si>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</si>
  <si>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</si>
  <si>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</si>
  <si>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</si>
  <si>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</si>
  <si>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</si>
  <si>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</si>
  <si>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</si>
  <si>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</si>
  <si>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</si>
  <si>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</si>
  <si>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</si>
  <si>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</si>
  <si>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</si>
  <si>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</si>
  <si>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</si>
  <si>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</si>
  <si>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</si>
  <si>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</si>
  <si>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</si>
  <si>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</si>
  <si>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</si>
  <si>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</si>
  <si>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</si>
  <si>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</si>
  <si>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</si>
  <si>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</si>
  <si>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</si>
  <si>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</si>
  <si>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</si>
  <si>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</si>
  <si>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</si>
  <si>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</si>
  <si>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</si>
  <si>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</si>
  <si>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</si>
  <si>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</si>
  <si>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</si>
  <si>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</si>
  <si>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</si>
  <si>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</si>
  <si>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</si>
  <si>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</si>
  <si>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</si>
  <si>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</si>
  <si>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</si>
  <si>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</si>
  <si>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</si>
  <si>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</si>
  <si>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</si>
  <si>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</si>
  <si>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</si>
  <si>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</si>
  <si>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</si>
  <si>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</si>
  <si>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</si>
  <si>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</si>
  <si>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</si>
  <si>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</si>
  <si>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</si>
  <si>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</si>
  <si>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</si>
  <si>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</si>
  <si>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</si>
  <si>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</si>
  <si>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</si>
  <si>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</si>
  <si>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</si>
  <si>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</si>
  <si>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</si>
  <si>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</si>
  <si>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</si>
  <si>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</si>
  <si>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</si>
  <si>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</si>
  <si>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</si>
  <si>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</si>
  <si>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</si>
  <si>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</si>
  <si>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</si>
  <si>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</si>
  <si>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</si>
  <si>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</si>
  <si>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</si>
  <si>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</si>
  <si>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</si>
  <si>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</si>
  <si>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</si>
  <si>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</si>
  <si>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</si>
  <si>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</si>
  <si>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</si>
  <si>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</si>
  <si>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</si>
  <si>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</si>
  <si>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</si>
  <si>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</si>
  <si>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</si>
  <si>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</si>
  <si>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</si>
  <si>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</si>
  <si>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</si>
  <si>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</si>
  <si>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</si>
  <si>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</si>
  <si>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</si>
  <si>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</si>
  <si>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</si>
  <si>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</si>
  <si>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</si>
  <si>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</si>
  <si>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</si>
  <si>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</si>
  <si>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</si>
  <si>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</si>
  <si>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</si>
  <si>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</si>
  <si>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</si>
  <si>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</si>
  <si>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</si>
  <si>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</si>
  <si>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</si>
  <si>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</si>
  <si>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</si>
  <si>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</si>
  <si>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</si>
  <si>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</si>
  <si>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</si>
  <si>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</si>
  <si>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</si>
  <si>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</si>
  <si>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</si>
  <si>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</si>
  <si>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</si>
  <si>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</si>
  <si>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</si>
  <si>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</si>
  <si>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</si>
  <si>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</si>
  <si>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</si>
  <si>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</si>
  <si>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</si>
  <si>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</si>
  <si>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</si>
  <si>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</si>
  <si>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</si>
  <si>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</si>
  <si>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</si>
  <si>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</si>
  <si>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</si>
  <si>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</si>
  <si>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</si>
  <si>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</si>
  <si>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</si>
  <si>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</si>
  <si>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</si>
  <si>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</si>
  <si>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</si>
  <si>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</si>
  <si>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</si>
  <si>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</si>
  <si>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</si>
  <si>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r>
      <t xml:space="preserve">WARN REPORT - </t>
    </r>
    <r>
      <rPr>
        <b/>
        <sz val="12"/>
        <rFont val="Calibri"/>
        <family val="2"/>
        <scheme val="minor"/>
      </rPr>
      <t>07/01/23 to 09/18/23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H228.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</si>
</sst>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228" totalsRowShown="0" headerRowDxfId="11" headerRowBorderDxfId="10" tableBorderDxfId="9" totalsRowBorderDxfId="8">
  <autoFilter ref="A2:H228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5" x14ac:dyDescent="0.25"/>
  <cols>
    <col min="1" max="1" width="66.140625" customWidth="1"/>
  </cols>
  <sheetData>
    <row r="1" spans="1:1" ht="105" x14ac:dyDescent="0.25">
      <c r="A1" s="2" t="s">
        <v>348</v>
      </c>
    </row>
    <row r="2" spans="1:1" ht="21" x14ac:dyDescent="0.35">
      <c r="A2" s="9" t="s">
        <v>155</v>
      </c>
    </row>
    <row r="3" spans="1:1" x14ac:dyDescent="0.25">
      <c r="A3" s="10" t="s">
        <v>153</v>
      </c>
    </row>
    <row r="4" spans="1:1" x14ac:dyDescent="0.25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2" t="s">
        <v>347</v>
      </c>
    </row>
    <row r="2" spans="1:2" x14ac:dyDescent="0.25">
      <c r="A2" s="4" t="s">
        <v>28</v>
      </c>
      <c r="B2" s="5" t="s">
        <v>27</v>
      </c>
    </row>
    <row r="3" spans="1:2" x14ac:dyDescent="0.25">
      <c r="A3" s="3" t="s">
        <v>152</v>
      </c>
      <c r="B3" s="6">
        <f>SUM('Detailed WARN Report '!G:G)</f>
        <v>12507</v>
      </c>
    </row>
    <row r="4" spans="1:2" x14ac:dyDescent="0.25">
      <c r="A4" s="3" t="s">
        <v>21</v>
      </c>
      <c r="B4" s="6">
        <f>COUNTIF('Detailed WARN Report '!F:F,"Layoff Permanent")</f>
        <v>120</v>
      </c>
    </row>
    <row r="5" spans="1:2" x14ac:dyDescent="0.25">
      <c r="A5" s="3" t="s">
        <v>22</v>
      </c>
      <c r="B5" s="6">
        <f>COUNTIF('Detailed WARN Report '!F:F,"Layoff Temporary")</f>
        <v>3</v>
      </c>
    </row>
    <row r="6" spans="1:2" x14ac:dyDescent="0.25">
      <c r="A6" s="3" t="s">
        <v>23</v>
      </c>
      <c r="B6" s="6">
        <f>COUNTIF('Detailed WARN Report '!F:F,"Layoff Not Identified")</f>
        <v>0</v>
      </c>
    </row>
    <row r="7" spans="1:2" x14ac:dyDescent="0.25">
      <c r="A7" s="3" t="s">
        <v>24</v>
      </c>
      <c r="B7" s="6">
        <f>COUNTIF('Detailed WARN Report '!F:F,"Closure Permanent")</f>
        <v>100</v>
      </c>
    </row>
    <row r="8" spans="1:2" x14ac:dyDescent="0.25">
      <c r="A8" s="3" t="s">
        <v>25</v>
      </c>
      <c r="B8" s="6">
        <f>COUNTIF('Detailed WARN Report '!F:F,"Closure Temporary")</f>
        <v>3</v>
      </c>
    </row>
    <row r="9" spans="1:2" x14ac:dyDescent="0.25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228"/>
  <sheetViews>
    <sheetView zoomScaleNormal="100" workbookViewId="0"/>
  </sheetViews>
  <sheetFormatPr defaultColWidth="26" defaultRowHeight="15" x14ac:dyDescent="0.25"/>
  <cols>
    <col min="1" max="1" width="25.85546875" bestFit="1" customWidth="1"/>
    <col min="2" max="4" width="8.7109375" bestFit="1" customWidth="1"/>
    <col min="5" max="5" width="54.85546875" style="2" bestFit="1" customWidth="1"/>
    <col min="6" max="6" width="14.28515625" bestFit="1" customWidth="1"/>
    <col min="7" max="7" width="9.85546875" bestFit="1" customWidth="1"/>
    <col min="8" max="8" width="52.85546875" bestFit="1" customWidth="1"/>
  </cols>
  <sheetData>
    <row r="1" spans="1:8" ht="117" x14ac:dyDescent="0.25">
      <c r="A1" s="8" t="s">
        <v>391</v>
      </c>
      <c r="D1" s="7"/>
      <c r="E1" s="7"/>
      <c r="F1" s="7"/>
      <c r="G1" s="7"/>
      <c r="H1" s="7"/>
    </row>
    <row r="2" spans="1:8" s="1" customFormat="1" ht="27.75" customHeight="1" x14ac:dyDescent="0.25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25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25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25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25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25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25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25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25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25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25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25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25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25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25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25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25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25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25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25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25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25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25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25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25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25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25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25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25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25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25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25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25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25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25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25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25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25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25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25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25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25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25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25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25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25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25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25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25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25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25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25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25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25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25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25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25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25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25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25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25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25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25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25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25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25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25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25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25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25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25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25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25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25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25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25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25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25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25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25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25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25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25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25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25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25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25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25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25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25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25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25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25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25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25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25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25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25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25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25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25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25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25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25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25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25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25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25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25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25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25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25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25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25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25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25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25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25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25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25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25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25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25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25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25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25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25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25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25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25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25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25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25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25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25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25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25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25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25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25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25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25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25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25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25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25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25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25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25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25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25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25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25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25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25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25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25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25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25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25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25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25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25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25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25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25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25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25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25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25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25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25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25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25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25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25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25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25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25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25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25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25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25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25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25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25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25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25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25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25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25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25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25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25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25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25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25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25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25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25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25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25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25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25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25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25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25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25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  <row r="210" spans="1:8" x14ac:dyDescent="0.25">
      <c r="A210" s="18" t="s">
        <v>5</v>
      </c>
      <c r="B210" s="19">
        <v>45140</v>
      </c>
      <c r="C210" s="19">
        <v>45181</v>
      </c>
      <c r="D210" s="19">
        <v>45201</v>
      </c>
      <c r="E210" s="20" t="s">
        <v>362</v>
      </c>
      <c r="F210" s="20" t="s">
        <v>16</v>
      </c>
      <c r="G210" s="21">
        <v>53</v>
      </c>
      <c r="H210" s="22" t="s">
        <v>363</v>
      </c>
    </row>
    <row r="211" spans="1:8" x14ac:dyDescent="0.25">
      <c r="A211" s="13" t="s">
        <v>7</v>
      </c>
      <c r="B211" s="14">
        <v>45124</v>
      </c>
      <c r="C211" s="14">
        <v>45181</v>
      </c>
      <c r="D211" s="14">
        <v>45215</v>
      </c>
      <c r="E211" s="15" t="s">
        <v>364</v>
      </c>
      <c r="F211" s="15" t="s">
        <v>16</v>
      </c>
      <c r="G211" s="16">
        <v>123</v>
      </c>
      <c r="H211" s="17" t="s">
        <v>365</v>
      </c>
    </row>
    <row r="212" spans="1:8" x14ac:dyDescent="0.25">
      <c r="A212" s="18" t="s">
        <v>7</v>
      </c>
      <c r="B212" s="19">
        <v>45124</v>
      </c>
      <c r="C212" s="19">
        <v>45181</v>
      </c>
      <c r="D212" s="19">
        <v>45215</v>
      </c>
      <c r="E212" s="20" t="s">
        <v>364</v>
      </c>
      <c r="F212" s="20" t="s">
        <v>16</v>
      </c>
      <c r="G212" s="21">
        <v>227</v>
      </c>
      <c r="H212" s="22" t="s">
        <v>366</v>
      </c>
    </row>
    <row r="213" spans="1:8" x14ac:dyDescent="0.25">
      <c r="A213" s="13" t="s">
        <v>5</v>
      </c>
      <c r="B213" s="14">
        <v>45142</v>
      </c>
      <c r="C213" s="14">
        <v>45182</v>
      </c>
      <c r="D213" s="14">
        <v>45200</v>
      </c>
      <c r="E213" s="15" t="s">
        <v>367</v>
      </c>
      <c r="F213" s="15" t="s">
        <v>17</v>
      </c>
      <c r="G213" s="16">
        <v>19</v>
      </c>
      <c r="H213" s="17" t="s">
        <v>149</v>
      </c>
    </row>
    <row r="214" spans="1:8" x14ac:dyDescent="0.25">
      <c r="A214" s="18" t="s">
        <v>368</v>
      </c>
      <c r="B214" s="19">
        <v>45142</v>
      </c>
      <c r="C214" s="19">
        <v>45182</v>
      </c>
      <c r="D214" s="19">
        <v>45177</v>
      </c>
      <c r="E214" s="20" t="s">
        <v>369</v>
      </c>
      <c r="F214" s="20" t="s">
        <v>15</v>
      </c>
      <c r="G214" s="21">
        <v>2</v>
      </c>
      <c r="H214" s="22" t="s">
        <v>370</v>
      </c>
    </row>
    <row r="215" spans="1:8" x14ac:dyDescent="0.25">
      <c r="A215" s="13" t="s">
        <v>79</v>
      </c>
      <c r="B215" s="14">
        <v>45141</v>
      </c>
      <c r="C215" s="14">
        <v>45182</v>
      </c>
      <c r="D215" s="14">
        <v>45205</v>
      </c>
      <c r="E215" s="15" t="s">
        <v>371</v>
      </c>
      <c r="F215" s="15" t="s">
        <v>15</v>
      </c>
      <c r="G215" s="16">
        <v>18</v>
      </c>
      <c r="H215" s="17" t="s">
        <v>372</v>
      </c>
    </row>
    <row r="216" spans="1:8" x14ac:dyDescent="0.25">
      <c r="A216" s="18" t="s">
        <v>14</v>
      </c>
      <c r="B216" s="19">
        <v>45153</v>
      </c>
      <c r="C216" s="19">
        <v>45183</v>
      </c>
      <c r="D216" s="19">
        <v>45213</v>
      </c>
      <c r="E216" s="20" t="s">
        <v>373</v>
      </c>
      <c r="F216" s="20" t="s">
        <v>16</v>
      </c>
      <c r="G216" s="21">
        <v>76</v>
      </c>
      <c r="H216" s="22" t="s">
        <v>374</v>
      </c>
    </row>
    <row r="217" spans="1:8" x14ac:dyDescent="0.25">
      <c r="A217" s="13" t="s">
        <v>63</v>
      </c>
      <c r="B217" s="14">
        <v>45145</v>
      </c>
      <c r="C217" s="14">
        <v>45183</v>
      </c>
      <c r="D217" s="14">
        <v>45175</v>
      </c>
      <c r="E217" s="15" t="s">
        <v>87</v>
      </c>
      <c r="F217" s="15" t="s">
        <v>16</v>
      </c>
      <c r="G217" s="16">
        <v>1</v>
      </c>
      <c r="H217" s="17" t="s">
        <v>239</v>
      </c>
    </row>
    <row r="218" spans="1:8" x14ac:dyDescent="0.25">
      <c r="A218" s="18" t="s">
        <v>9</v>
      </c>
      <c r="B218" s="19">
        <v>45140</v>
      </c>
      <c r="C218" s="19">
        <v>45183</v>
      </c>
      <c r="D218" s="19">
        <v>45201</v>
      </c>
      <c r="E218" s="20" t="s">
        <v>362</v>
      </c>
      <c r="F218" s="20" t="s">
        <v>16</v>
      </c>
      <c r="G218" s="21">
        <v>50</v>
      </c>
      <c r="H218" s="22" t="s">
        <v>375</v>
      </c>
    </row>
    <row r="219" spans="1:8" x14ac:dyDescent="0.25">
      <c r="A219" s="13" t="s">
        <v>6</v>
      </c>
      <c r="B219" s="14">
        <v>45147</v>
      </c>
      <c r="C219" s="14">
        <v>45183</v>
      </c>
      <c r="D219" s="14">
        <v>45247</v>
      </c>
      <c r="E219" s="15" t="s">
        <v>376</v>
      </c>
      <c r="F219" s="15" t="s">
        <v>15</v>
      </c>
      <c r="G219" s="16">
        <v>134</v>
      </c>
      <c r="H219" s="17" t="s">
        <v>377</v>
      </c>
    </row>
    <row r="220" spans="1:8" x14ac:dyDescent="0.25">
      <c r="A220" s="18" t="s">
        <v>5</v>
      </c>
      <c r="B220" s="19">
        <v>45149</v>
      </c>
      <c r="C220" s="19">
        <v>45183</v>
      </c>
      <c r="D220" s="19">
        <v>45209</v>
      </c>
      <c r="E220" s="20" t="s">
        <v>378</v>
      </c>
      <c r="F220" s="20" t="s">
        <v>16</v>
      </c>
      <c r="G220" s="21">
        <v>73</v>
      </c>
      <c r="H220" s="22" t="s">
        <v>379</v>
      </c>
    </row>
    <row r="221" spans="1:8" x14ac:dyDescent="0.25">
      <c r="A221" s="13" t="s">
        <v>5</v>
      </c>
      <c r="B221" s="14">
        <v>45149</v>
      </c>
      <c r="C221" s="14">
        <v>45183</v>
      </c>
      <c r="D221" s="14">
        <v>45240</v>
      </c>
      <c r="E221" s="15" t="s">
        <v>380</v>
      </c>
      <c r="F221" s="15" t="s">
        <v>16</v>
      </c>
      <c r="G221" s="16">
        <v>1</v>
      </c>
      <c r="H221" s="17" t="s">
        <v>379</v>
      </c>
    </row>
    <row r="222" spans="1:8" x14ac:dyDescent="0.25">
      <c r="A222" s="18" t="s">
        <v>5</v>
      </c>
      <c r="B222" s="19">
        <v>45149</v>
      </c>
      <c r="C222" s="19">
        <v>45183</v>
      </c>
      <c r="D222" s="19">
        <v>45247</v>
      </c>
      <c r="E222" s="20" t="s">
        <v>378</v>
      </c>
      <c r="F222" s="20" t="s">
        <v>16</v>
      </c>
      <c r="G222" s="21">
        <v>2</v>
      </c>
      <c r="H222" s="22" t="s">
        <v>379</v>
      </c>
    </row>
    <row r="223" spans="1:8" x14ac:dyDescent="0.25">
      <c r="A223" s="13" t="s">
        <v>86</v>
      </c>
      <c r="B223" s="14">
        <v>45142</v>
      </c>
      <c r="C223" s="14">
        <v>45184</v>
      </c>
      <c r="D223" s="14">
        <v>45202</v>
      </c>
      <c r="E223" s="15" t="s">
        <v>381</v>
      </c>
      <c r="F223" s="15" t="s">
        <v>15</v>
      </c>
      <c r="G223" s="16">
        <v>127</v>
      </c>
      <c r="H223" s="17" t="s">
        <v>382</v>
      </c>
    </row>
    <row r="224" spans="1:8" x14ac:dyDescent="0.25">
      <c r="A224" s="18" t="s">
        <v>66</v>
      </c>
      <c r="B224" s="19">
        <v>45135</v>
      </c>
      <c r="C224" s="19">
        <v>45184</v>
      </c>
      <c r="D224" s="19">
        <v>45198</v>
      </c>
      <c r="E224" s="20" t="s">
        <v>383</v>
      </c>
      <c r="F224" s="20" t="s">
        <v>16</v>
      </c>
      <c r="G224" s="21">
        <v>76</v>
      </c>
      <c r="H224" s="22" t="s">
        <v>384</v>
      </c>
    </row>
    <row r="225" spans="1:8" x14ac:dyDescent="0.25">
      <c r="A225" s="13" t="s">
        <v>9</v>
      </c>
      <c r="B225" s="14">
        <v>45135</v>
      </c>
      <c r="C225" s="14">
        <v>45184</v>
      </c>
      <c r="D225" s="14">
        <v>45198</v>
      </c>
      <c r="E225" s="15" t="s">
        <v>383</v>
      </c>
      <c r="F225" s="15" t="s">
        <v>16</v>
      </c>
      <c r="G225" s="16">
        <v>94</v>
      </c>
      <c r="H225" s="17" t="s">
        <v>385</v>
      </c>
    </row>
    <row r="226" spans="1:8" x14ac:dyDescent="0.25">
      <c r="A226" s="18" t="s">
        <v>86</v>
      </c>
      <c r="B226" s="19">
        <v>45145</v>
      </c>
      <c r="C226" s="19">
        <v>45187</v>
      </c>
      <c r="D226" s="19">
        <v>45146</v>
      </c>
      <c r="E226" s="20" t="s">
        <v>146</v>
      </c>
      <c r="F226" s="20" t="s">
        <v>16</v>
      </c>
      <c r="G226" s="21">
        <v>62</v>
      </c>
      <c r="H226" s="22" t="s">
        <v>386</v>
      </c>
    </row>
    <row r="227" spans="1:8" x14ac:dyDescent="0.25">
      <c r="A227" s="13" t="s">
        <v>8</v>
      </c>
      <c r="B227" s="14">
        <v>45147</v>
      </c>
      <c r="C227" s="14">
        <v>45187</v>
      </c>
      <c r="D227" s="14">
        <v>45212</v>
      </c>
      <c r="E227" s="15" t="s">
        <v>387</v>
      </c>
      <c r="F227" s="15" t="s">
        <v>15</v>
      </c>
      <c r="G227" s="16">
        <v>4</v>
      </c>
      <c r="H227" s="17" t="s">
        <v>388</v>
      </c>
    </row>
    <row r="228" spans="1:8" x14ac:dyDescent="0.25">
      <c r="A228" s="18" t="s">
        <v>39</v>
      </c>
      <c r="B228" s="19">
        <v>45180</v>
      </c>
      <c r="C228" s="19">
        <v>45187</v>
      </c>
      <c r="D228" s="19">
        <v>45149</v>
      </c>
      <c r="E228" s="20" t="s">
        <v>389</v>
      </c>
      <c r="F228" s="20" t="s">
        <v>15</v>
      </c>
      <c r="G228" s="21">
        <v>127</v>
      </c>
      <c r="H228" s="22" t="s">
        <v>390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899729A-C84F-4370-85D4-EC206100DD6E}">
  <ds:schemaRefs>
    <ds:schemaRef ds:uri="http://purl.org/dc/dcmitype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549E0B6C-9FDE-4527-97EE-B343EAB0090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360BBE-A6BD-4738-9B60-059BA3E695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Ochoa, John@EDD</cp:lastModifiedBy>
  <dcterms:created xsi:type="dcterms:W3CDTF">2023-03-21T10:09:53Z</dcterms:created>
  <dcterms:modified xsi:type="dcterms:W3CDTF">2023-09-19T16:30:20Z</dcterms:modified>
  <cp:category>Calculating WARN Report</cp:category>
</cp:coreProperties>
</file>