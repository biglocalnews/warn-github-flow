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13_ncr:1_{0F355CE2-D12B-4D17-BC7F-2860BCFEDA20}" xr6:coauthVersionLast="47" xr6:coauthVersionMax="47" xr10:uidLastSave="{00000000-0000-0000-0000-000000000000}"/>
  <bookViews>
    <workbookView xWindow="-28920" yWindow="-120" windowWidth="29040" windowHeight="1584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4" i="2"/>
  <c r="B3" i="2"/>
  <c r="B5" i="2"/>
  <c r="B7" i="2"/>
  <c r="B8" i="2"/>
  <c r="B9" i="2"/>
</calcChain>
</file>

<file path=xl/sharedStrings.xml><?xml version="1.0" encoding="utf-8"?>
<sst xmlns="http://schemas.openxmlformats.org/spreadsheetml/2006/main" count="191" uniqueCount="108">
  <si>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</si>
  <si>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</si>
  <si>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</si>
  <si>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</si>
  <si>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</si>
  <si>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</si>
  <si>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</si>
  <si>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</si>
  <si>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</si>
  <si>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</si>
  <si>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</si>
  <si>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</si>
  <si>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</si>
  <si>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</si>
  <si>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</si>
  <si>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</si>
  <si>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</si>
  <si>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</si>
  <si>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</si>
  <si>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</si>
  <si>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</si>
  <si>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</si>
  <si>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</si>
  <si>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</si>
  <si>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</si>
  <si>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</si>
  <si>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</si>
  <si>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</si>
  <si>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</si>
  <si>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</si>
  <si>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</si>
  <si>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</si>
  <si>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</si>
  <si>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</si>
  <si>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</si>
  <si>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</si>
  <si>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</si>
  <si>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</si>
  <si>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</si>
  <si>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</si>
  <si>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</si>
  <si>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</si>
  <si>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</si>
  <si>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</si>
  <si>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</si>
  <si>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</si>
  <si>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</si>
  <si>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</si>
  <si>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</si>
  <si>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</si>
  <si>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</si>
  <si>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</si>
  <si>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</si>
  <si>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</si>
  <si>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</si>
  <si>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</si>
  <si>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</si>
  <si>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</si>
  <si>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</si>
  <si>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</si>
  <si>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</si>
  <si>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</si>
  <si>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</si>
  <si>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</si>
  <si>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</si>
  <si>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</si>
  <si>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</si>
  <si>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</si>
  <si>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</si>
  <si>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</si>
  <si>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</si>
  <si>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</si>
  <si>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</si>
  <si>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</si>
  <si>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</si>
  <si>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</si>
  <si>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</si>
  <si>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</si>
  <si>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</si>
  <si>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</si>
  <si>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</si>
  <si>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</si>
  <si>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</si>
  <si>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</si>
  <si>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</si>
  <si>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</si>
  <si>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</si>
  <si>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</si>
  <si>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</si>
  <si>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</si>
  <si>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</si>
  <si>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</si>
  <si>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</si>
  <si>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</si>
  <si>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r>
      <t xml:space="preserve">WARN REPORT - 01/01/2023 - 07/07/2025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</si>
  <si>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</si>
  <si>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</si>
  <si>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</si>
  <si>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</si>
  <si>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</si>
  <si>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</si>
  <si>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</si>
  <si>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</si>
  <si>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</si>
  <si>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</si>
  <si>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</si>
  <si>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</si>
  <si>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r>
      <t xml:space="preserve">WARN REPORT - </t>
    </r>
    <r>
      <rPr>
        <b/>
        <sz val="12"/>
        <rFont val="Calibri"/>
        <family val="2"/>
        <scheme val="minor"/>
      </rPr>
      <t>07/01/25 to 07/07/2025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I26.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</si>
</sst>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26" totalsRowShown="0" headerRowDxfId="27" dataDxfId="26">
  <autoFilter ref="A2:I26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2930</v>
      </c>
    </row>
    <row r="4" spans="1:2" x14ac:dyDescent="0.25">
      <c r="A4" s="2" t="s">
        <v>9</v>
      </c>
      <c r="B4" s="11">
        <f>COUNTIF('Detailed WARN Report '!F:F,"Layoff Permanent")</f>
        <v>12</v>
      </c>
    </row>
    <row r="5" spans="1:2" x14ac:dyDescent="0.25">
      <c r="A5" s="2" t="s">
        <v>10</v>
      </c>
      <c r="B5" s="11">
        <f>COUNTIF('Detailed WARN Report '!F:F,"Layoff Temporary")</f>
        <v>0</v>
      </c>
    </row>
    <row r="6" spans="1:2" x14ac:dyDescent="0.25">
      <c r="A6" s="2" t="s">
        <v>11</v>
      </c>
      <c r="B6" s="11">
        <v>1</v>
      </c>
    </row>
    <row r="7" spans="1:2" x14ac:dyDescent="0.25">
      <c r="A7" s="2" t="s">
        <v>12</v>
      </c>
      <c r="B7" s="11">
        <f>COUNTIF('Detailed WARN Report '!F:F,"Closure Permanent")</f>
        <v>11</v>
      </c>
    </row>
    <row r="8" spans="1:2" x14ac:dyDescent="0.25">
      <c r="A8" s="2" t="s">
        <v>13</v>
      </c>
      <c r="B8" s="11">
        <f>COUNTIF('Detailed WARN Report '!F:F,"Closure Temporary")</f>
        <v>0</v>
      </c>
    </row>
    <row r="9" spans="1:2" x14ac:dyDescent="0.25">
      <c r="A9" s="2" t="s">
        <v>14</v>
      </c>
      <c r="B9" s="11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26"/>
  <sheetViews>
    <sheetView zoomScaleNormal="100" workbookViewId="0"/>
  </sheetViews>
  <sheetFormatPr defaultColWidth="30" defaultRowHeight="15" x14ac:dyDescent="0.25"/>
  <cols>
    <col min="1" max="1" width="29" style="3" bestFit="1" customWidth="1"/>
    <col min="2" max="2" width="7" style="8" bestFit="1" customWidth="1"/>
    <col min="3" max="3" width="9.85546875" style="8" customWidth="1"/>
    <col min="4" max="4" width="8" style="8" bestFit="1" customWidth="1"/>
    <col min="5" max="5" width="53.5703125" style="10" bestFit="1" customWidth="1"/>
    <col min="6" max="6" width="21.5703125" style="3" bestFit="1" customWidth="1"/>
    <col min="7" max="7" width="9.85546875" style="3" customWidth="1"/>
    <col min="8" max="8" width="38" style="3" bestFit="1" customWidth="1"/>
    <col min="9" max="9" width="35.85546875" style="3" bestFit="1" customWidth="1"/>
  </cols>
  <sheetData>
    <row r="1" spans="1:9" ht="102" x14ac:dyDescent="0.25">
      <c r="A1" s="16" t="s">
        <v>107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35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45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95</v>
      </c>
      <c r="B22" s="33">
        <v>45841</v>
      </c>
      <c r="C22" s="33">
        <v>45841</v>
      </c>
      <c r="D22" s="33">
        <v>45841</v>
      </c>
      <c r="E22" s="32" t="s">
        <v>96</v>
      </c>
      <c r="F22" s="32" t="s">
        <v>6</v>
      </c>
      <c r="G22" s="34">
        <v>2</v>
      </c>
      <c r="H22" s="34" t="s">
        <v>97</v>
      </c>
      <c r="I22" s="26" t="s">
        <v>37</v>
      </c>
    </row>
    <row r="23" spans="1:9" x14ac:dyDescent="0.25">
      <c r="A23" s="32" t="s">
        <v>98</v>
      </c>
      <c r="B23" s="33">
        <v>45841</v>
      </c>
      <c r="C23" s="33">
        <v>45841</v>
      </c>
      <c r="D23" s="33">
        <v>45841</v>
      </c>
      <c r="E23" s="32" t="s">
        <v>99</v>
      </c>
      <c r="F23" s="32" t="s">
        <v>6</v>
      </c>
      <c r="G23" s="34">
        <v>85</v>
      </c>
      <c r="H23" s="34" t="s">
        <v>100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101</v>
      </c>
      <c r="F24" s="32" t="s">
        <v>6</v>
      </c>
      <c r="G24" s="34">
        <v>14</v>
      </c>
      <c r="H24" s="34" t="s">
        <v>102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103</v>
      </c>
      <c r="F25" s="32" t="s">
        <v>6</v>
      </c>
      <c r="G25" s="34">
        <v>48</v>
      </c>
      <c r="H25" s="34" t="s">
        <v>104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105</v>
      </c>
      <c r="F26" s="32" t="s">
        <v>6</v>
      </c>
      <c r="G26" s="34">
        <v>61</v>
      </c>
      <c r="H26" s="34" t="s">
        <v>106</v>
      </c>
      <c r="I26" s="26" t="s">
        <v>46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26.28515625" bestFit="1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110.25" x14ac:dyDescent="0.25">
      <c r="A1" s="25" t="s">
        <v>94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2025-07-08T15:46:22Z</dcterms:modified>
  <cp:category>Calculating WARN Report</cp:category>
</cp:coreProperties>
</file>