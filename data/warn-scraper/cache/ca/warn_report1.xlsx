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F9C3697B-36EF-4E1D-816F-E31B4510F204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<sst xmlns="http://schemas.openxmlformats.org/spreadsheetml/2006/main" count="841" uniqueCount="367">
  <si>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</si>
  <si>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</si>
  <si>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</si>
  <si>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</si>
  <si>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</si>
  <si>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</si>
  <si>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</si>
  <si>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</si>
  <si>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</si>
  <si>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</si>
  <si>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</si>
  <si>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</si>
  <si>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</si>
  <si>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</si>
  <si>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</si>
  <si>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</si>
  <si>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</si>
  <si>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</si>
  <si>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</si>
  <si>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</si>
  <si>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</si>
  <si>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</si>
  <si>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</si>
  <si>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</si>
  <si>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</si>
  <si>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</si>
  <si>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</si>
  <si>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</si>
  <si>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</si>
  <si>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</si>
  <si>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</si>
  <si>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</si>
  <si>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</si>
  <si>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</si>
  <si>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</si>
  <si>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</si>
  <si>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</si>
  <si>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</si>
  <si>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</si>
  <si>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</si>
  <si>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</si>
  <si>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</si>
  <si>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</si>
  <si>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</si>
  <si>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</si>
  <si>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</si>
  <si>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</si>
  <si>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</si>
  <si>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</si>
  <si>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</si>
  <si>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</si>
  <si>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</si>
  <si>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</si>
  <si>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</si>
  <si>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</si>
  <si>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</si>
  <si>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</si>
  <si>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</si>
  <si>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</si>
  <si>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</si>
  <si>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</si>
  <si>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</si>
  <si>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</si>
  <si>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</si>
  <si>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</si>
  <si>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</si>
  <si>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</si>
  <si>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</si>
  <si>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</si>
  <si>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</si>
  <si>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</si>
  <si>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</si>
  <si>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</si>
  <si>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</si>
  <si>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</si>
  <si>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</si>
  <si>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</si>
  <si>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</si>
  <si>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</si>
  <si>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</si>
  <si>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</si>
  <si>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</si>
  <si>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</si>
  <si>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</si>
  <si>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</si>
  <si>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</si>
  <si>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</si>
  <si>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</si>
  <si>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</si>
  <si>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</si>
  <si>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</si>
  <si>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</si>
  <si>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</si>
  <si>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</si>
  <si>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</si>
  <si>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</si>
  <si>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</si>
  <si>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</si>
  <si>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</si>
  <si>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</si>
  <si>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</si>
  <si>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</si>
  <si>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</si>
  <si>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</si>
  <si>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</si>
  <si>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</si>
  <si>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</si>
  <si>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</si>
  <si>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</si>
  <si>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</si>
  <si>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</si>
  <si>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</si>
  <si>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</si>
  <si>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</si>
  <si>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</si>
  <si>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</si>
  <si>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</si>
  <si>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</si>
  <si>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</si>
  <si>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</si>
  <si>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</si>
  <si>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</si>
  <si>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</si>
  <si>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</si>
  <si>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</si>
  <si>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</si>
  <si>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</si>
  <si>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</si>
  <si>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</si>
  <si>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</si>
  <si>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</si>
  <si>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</si>
  <si>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</si>
  <si>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</si>
  <si>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</si>
  <si>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</si>
  <si>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</si>
  <si>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</si>
  <si>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</si>
  <si>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</si>
  <si>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</si>
  <si>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</si>
  <si>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</si>
  <si>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</si>
  <si>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</si>
  <si>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</si>
  <si>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</si>
  <si>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</si>
  <si>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</si>
  <si>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</si>
  <si>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</si>
  <si>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</si>
  <si>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</si>
  <si>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</si>
  <si>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</si>
  <si>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</si>
  <si>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</si>
  <si>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</si>
  <si>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</si>
  <si>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</si>
  <si>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</si>
  <si>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</si>
  <si>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</si>
  <si>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</si>
  <si>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</si>
  <si>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</si>
  <si>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</si>
  <si>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</si>
  <si>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</si>
  <si>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</si>
  <si>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</si>
  <si>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</si>
  <si>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</si>
  <si>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</si>
  <si>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</si>
  <si>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</si>
  <si>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</si>
  <si>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</si>
  <si>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</si>
  <si>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</si>
  <si>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</si>
  <si>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</si>
  <si>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</si>
  <si>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</si>
  <si>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</si>
  <si>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</si>
  <si>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</si>
  <si>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</si>
  <si>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</si>
  <si>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</si>
  <si>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</si>
  <si>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</si>
  <si>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</si>
  <si>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</si>
  <si>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</si>
  <si>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</si>
  <si>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</si>
  <si>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</si>
  <si>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</si>
  <si>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</si>
  <si>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</si>
  <si>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</si>
  <si>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</si>
  <si>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</si>
  <si>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</si>
  <si>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</si>
  <si>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</si>
  <si>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</si>
  <si>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</si>
  <si>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</si>
  <si>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</si>
  <si>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</si>
  <si>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</si>
  <si>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</si>
  <si>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</si>
  <si>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</si>
  <si>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</si>
  <si>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</si>
  <si>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</si>
  <si>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</si>
  <si>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</si>
  <si>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</si>
  <si>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</si>
  <si>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</si>
  <si>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</si>
  <si>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</si>
  <si>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</si>
  <si>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</si>
  <si>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</si>
  <si>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</si>
  <si>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</si>
  <si>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</si>
  <si>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</si>
  <si>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</si>
  <si>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</si>
  <si>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</si>
  <si>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</si>
  <si>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</si>
  <si>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</si>
  <si>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</si>
  <si>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</si>
  <si>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</si>
  <si>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</si>
  <si>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</si>
  <si>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</si>
  <si>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</si>
  <si>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</si>
  <si>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</si>
  <si>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</si>
  <si>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</si>
  <si>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</si>
  <si>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</si>
  <si>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</si>
  <si>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</si>
  <si>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</si>
  <si>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</si>
  <si>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</si>
  <si>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</si>
  <si>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</si>
  <si>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</si>
  <si>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</si>
  <si>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</si>
  <si>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</si>
  <si>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</si>
  <si>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</si>
  <si>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</si>
  <si>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</si>
  <si>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</si>
  <si>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</si>
  <si>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</si>
  <si>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</si>
  <si>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</si>
  <si>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</si>
  <si>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</si>
  <si>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</si>
  <si>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</si>
  <si>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</si>
  <si>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</si>
  <si>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</si>
  <si>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</si>
  <si>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</si>
  <si>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</si>
  <si>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</si>
  <si>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</si>
  <si>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</si>
  <si>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</si>
  <si>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</si>
  <si>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</si>
  <si>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</si>
  <si>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</si>
  <si>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</si>
  <si>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</si>
  <si>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</si>
  <si>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</si>
  <si>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</si>
  <si>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</si>
  <si>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</si>
  <si>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</si>
  <si>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</si>
  <si>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</si>
  <si>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</si>
  <si>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</si>
  <si>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</si>
  <si>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</si>
  <si>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</si>
  <si>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</si>
  <si>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</si>
  <si>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</si>
  <si>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</si>
  <si>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</si>
  <si>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</si>
  <si>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</si>
  <si>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</si>
  <si>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</si>
  <si>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</si>
  <si>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</si>
  <si>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</si>
  <si>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</si>
  <si>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</si>
  <si>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</si>
  <si>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</si>
  <si>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</si>
  <si>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</si>
  <si>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</si>
  <si>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</si>
  <si>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</si>
  <si>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</si>
  <si>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</si>
  <si>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</si>
  <si>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</si>
  <si>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</si>
  <si>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</si>
  <si>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</si>
  <si>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</si>
  <si>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</si>
  <si>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01/01/2023 - 08/24/2026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</si>
  <si>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</si>
  <si>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</si>
  <si>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</si>
  <si>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</si>
  <si>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</si>
  <si>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</si>
  <si>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</si>
  <si>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</si>
  <si>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</si>
  <si>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</si>
  <si>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</si>
  <si>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</si>
  <si>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</si>
  <si>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</si>
  <si>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</si>
  <si>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</si>
  <si>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</si>
  <si>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</si>
  <si>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</si>
  <si>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</si>
  <si>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</si>
  <si>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</si>
  <si>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</si>
  <si>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</si>
  <si>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</si>
  <si>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</si>
  <si>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</si>
  <si>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</si>
  <si>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</si>
  <si>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</si>
  <si>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r>
      <t xml:space="preserve">WARN REPORT - </t>
    </r>
    <r>
      <rPr>
        <b/>
        <sz val="12"/>
        <rFont val="Calibri"/>
        <family val="2"/>
        <scheme val="minor"/>
      </rPr>
      <t>07/01/26 to 08/24/2026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</si>
</sst>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6" totalsRowShown="0" headerRowDxfId="31" dataDxfId="30">
  <autoFilter ref="A2:I156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36328125" style="3" bestFit="1" customWidth="1"/>
    <col min="2" max="2" width="5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7770</v>
      </c>
    </row>
    <row r="4" spans="1:2" x14ac:dyDescent="0.35">
      <c r="A4" s="2" t="s">
        <v>9</v>
      </c>
      <c r="B4" s="11">
        <f>COUNTIF('Detailed WARN Report '!F:F,"Layoff Permanent")</f>
        <v>100</v>
      </c>
    </row>
    <row r="5" spans="1:2" x14ac:dyDescent="0.35">
      <c r="A5" s="2" t="s">
        <v>10</v>
      </c>
      <c r="B5" s="11">
        <f>COUNTIF('Detailed WARN Report '!F:F,"Layoff Temporary")</f>
        <v>6</v>
      </c>
    </row>
    <row r="6" spans="1:2" x14ac:dyDescent="0.35">
      <c r="A6" s="2" t="s">
        <v>11</v>
      </c>
      <c r="B6" s="11">
        <f>COUNTIF('Detailed WARN Report '!F:F,"Layoff Not known at this time")</f>
        <v>0</v>
      </c>
    </row>
    <row r="7" spans="1:2" x14ac:dyDescent="0.35">
      <c r="A7" s="2" t="s">
        <v>12</v>
      </c>
      <c r="B7" s="11">
        <f>COUNTIF('Detailed WARN Report '!F:F,"Closure Permanent")</f>
        <v>46</v>
      </c>
    </row>
    <row r="8" spans="1:2" x14ac:dyDescent="0.35">
      <c r="A8" s="2" t="s">
        <v>13</v>
      </c>
      <c r="B8" s="11">
        <f>COUNTIF('Detailed WARN Report '!F:F,"Closure Temporary")</f>
        <v>2</v>
      </c>
    </row>
    <row r="9" spans="1:2" x14ac:dyDescent="0.3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6"/>
  <sheetViews>
    <sheetView zoomScaleNormal="100" workbookViewId="0"/>
  </sheetViews>
  <sheetFormatPr defaultColWidth="161.453125" defaultRowHeight="14.5" x14ac:dyDescent="0.35"/>
  <cols>
    <col min="1" max="1" width="28.6328125" style="3" bestFit="1" customWidth="1"/>
    <col min="2" max="2" width="8.26953125" style="8" bestFit="1" customWidth="1"/>
    <col min="3" max="3" width="11.7265625" style="8" bestFit="1" customWidth="1"/>
    <col min="4" max="4" width="10.1796875" style="8" bestFit="1" customWidth="1"/>
    <col min="5" max="5" width="43.7265625" style="10" bestFit="1" customWidth="1"/>
    <col min="6" max="6" width="13.6328125" style="3" bestFit="1" customWidth="1"/>
    <col min="7" max="7" width="12.08984375" style="3" bestFit="1" customWidth="1"/>
    <col min="8" max="8" width="48.08984375" style="3" bestFit="1" customWidth="1"/>
    <col min="9" max="9" width="49.453125" style="3" bestFit="1" customWidth="1"/>
    <col min="10" max="10" width="22.54296875" customWidth="1"/>
    <col min="11" max="11" width="13.1796875" customWidth="1"/>
    <col min="12" max="12" width="12.7265625" customWidth="1"/>
    <col min="13" max="13" width="11.81640625" customWidth="1"/>
    <col min="14" max="14" width="15" customWidth="1"/>
  </cols>
  <sheetData>
    <row r="1" spans="1:9" ht="100" x14ac:dyDescent="0.35">
      <c r="A1" s="16" t="s">
        <v>366</v>
      </c>
      <c r="E1" s="3"/>
    </row>
    <row r="2" spans="1:9" ht="24" x14ac:dyDescent="0.3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3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3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3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3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3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3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3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3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3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3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3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3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3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3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3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3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3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3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3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3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3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3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3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3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3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3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3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3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3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3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3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3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3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3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3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3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3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3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3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3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3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3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3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3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3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3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3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3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3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3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3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3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3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3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3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3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3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3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3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3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3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3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3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3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3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3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3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3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3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3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3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3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3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3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3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3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3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3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3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3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3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3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3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3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3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3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3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3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3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3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3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3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3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3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3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3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3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3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3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3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3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3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3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3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3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3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3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3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3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3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3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3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3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3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3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3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3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3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3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3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3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3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3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3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3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3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3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3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3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3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3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3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3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3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3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3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3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336</v>
      </c>
      <c r="F139" s="28" t="s">
        <v>52</v>
      </c>
      <c r="G139" s="30">
        <v>72</v>
      </c>
      <c r="H139" s="30" t="s">
        <v>337</v>
      </c>
      <c r="I139" s="32" t="s">
        <v>47</v>
      </c>
    </row>
    <row r="140" spans="1:9" x14ac:dyDescent="0.3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338</v>
      </c>
      <c r="I140" s="32" t="s">
        <v>34</v>
      </c>
    </row>
    <row r="141" spans="1:9" x14ac:dyDescent="0.3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339</v>
      </c>
      <c r="F141" s="28" t="s">
        <v>6</v>
      </c>
      <c r="G141" s="30">
        <v>73</v>
      </c>
      <c r="H141" s="30" t="s">
        <v>340</v>
      </c>
      <c r="I141" s="32" t="s">
        <v>34</v>
      </c>
    </row>
    <row r="142" spans="1:9" x14ac:dyDescent="0.3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341</v>
      </c>
      <c r="F142" s="28" t="s">
        <v>6</v>
      </c>
      <c r="G142" s="30">
        <v>25</v>
      </c>
      <c r="H142" s="30" t="s">
        <v>342</v>
      </c>
      <c r="I142" s="32" t="s">
        <v>39</v>
      </c>
    </row>
    <row r="143" spans="1:9" x14ac:dyDescent="0.35">
      <c r="A143" s="28" t="s">
        <v>343</v>
      </c>
      <c r="B143" s="29">
        <v>46255</v>
      </c>
      <c r="C143" s="29">
        <v>46255</v>
      </c>
      <c r="D143" s="29">
        <v>46315</v>
      </c>
      <c r="E143" s="28" t="s">
        <v>344</v>
      </c>
      <c r="F143" s="28" t="s">
        <v>6</v>
      </c>
      <c r="G143" s="30">
        <v>1</v>
      </c>
      <c r="H143" s="30" t="s">
        <v>345</v>
      </c>
      <c r="I143" s="32" t="s">
        <v>39</v>
      </c>
    </row>
    <row r="144" spans="1:9" x14ac:dyDescent="0.35">
      <c r="A144" s="28" t="s">
        <v>343</v>
      </c>
      <c r="B144" s="29">
        <v>46255</v>
      </c>
      <c r="C144" s="29">
        <v>46255</v>
      </c>
      <c r="D144" s="29">
        <v>46315</v>
      </c>
      <c r="E144" s="28" t="s">
        <v>346</v>
      </c>
      <c r="F144" s="28" t="s">
        <v>6</v>
      </c>
      <c r="G144" s="30">
        <v>12</v>
      </c>
      <c r="H144" s="30" t="s">
        <v>347</v>
      </c>
      <c r="I144" s="32" t="s">
        <v>39</v>
      </c>
    </row>
    <row r="145" spans="1:9" x14ac:dyDescent="0.3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341</v>
      </c>
      <c r="F145" s="28" t="s">
        <v>6</v>
      </c>
      <c r="G145" s="30">
        <v>8</v>
      </c>
      <c r="H145" s="30" t="s">
        <v>348</v>
      </c>
      <c r="I145" s="32" t="s">
        <v>39</v>
      </c>
    </row>
    <row r="146" spans="1:9" x14ac:dyDescent="0.3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341</v>
      </c>
      <c r="F146" s="28" t="s">
        <v>6</v>
      </c>
      <c r="G146" s="30">
        <v>3</v>
      </c>
      <c r="H146" s="30" t="s">
        <v>349</v>
      </c>
      <c r="I146" s="32" t="s">
        <v>39</v>
      </c>
    </row>
    <row r="147" spans="1:9" x14ac:dyDescent="0.3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341</v>
      </c>
      <c r="F147" s="28" t="s">
        <v>6</v>
      </c>
      <c r="G147" s="30">
        <v>5</v>
      </c>
      <c r="H147" s="30" t="s">
        <v>350</v>
      </c>
      <c r="I147" s="32" t="s">
        <v>39</v>
      </c>
    </row>
    <row r="148" spans="1:9" x14ac:dyDescent="0.3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341</v>
      </c>
      <c r="F148" s="28" t="s">
        <v>6</v>
      </c>
      <c r="G148" s="30">
        <v>4</v>
      </c>
      <c r="H148" s="30" t="s">
        <v>351</v>
      </c>
      <c r="I148" s="32" t="s">
        <v>39</v>
      </c>
    </row>
    <row r="149" spans="1:9" x14ac:dyDescent="0.3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341</v>
      </c>
      <c r="F149" s="28" t="s">
        <v>6</v>
      </c>
      <c r="G149" s="30">
        <v>2</v>
      </c>
      <c r="H149" s="30" t="s">
        <v>352</v>
      </c>
      <c r="I149" s="32" t="s">
        <v>39</v>
      </c>
    </row>
    <row r="150" spans="1:9" x14ac:dyDescent="0.3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353</v>
      </c>
      <c r="F150" s="28" t="s">
        <v>6</v>
      </c>
      <c r="G150" s="30">
        <v>100</v>
      </c>
      <c r="H150" s="30" t="s">
        <v>354</v>
      </c>
      <c r="I150" s="32" t="s">
        <v>41</v>
      </c>
    </row>
    <row r="151" spans="1:9" x14ac:dyDescent="0.3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355</v>
      </c>
      <c r="F151" s="28" t="s">
        <v>6</v>
      </c>
      <c r="G151" s="30">
        <v>79</v>
      </c>
      <c r="H151" s="30" t="s">
        <v>356</v>
      </c>
      <c r="I151" s="32" t="s">
        <v>34</v>
      </c>
    </row>
    <row r="152" spans="1:9" x14ac:dyDescent="0.3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357</v>
      </c>
      <c r="F152" s="28" t="s">
        <v>6</v>
      </c>
      <c r="G152" s="30">
        <v>28</v>
      </c>
      <c r="H152" s="30" t="s">
        <v>358</v>
      </c>
      <c r="I152" s="32" t="s">
        <v>34</v>
      </c>
    </row>
    <row r="153" spans="1:9" x14ac:dyDescent="0.3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359</v>
      </c>
      <c r="F153" s="28" t="s">
        <v>6</v>
      </c>
      <c r="G153" s="30">
        <v>40</v>
      </c>
      <c r="H153" s="30" t="s">
        <v>360</v>
      </c>
      <c r="I153" s="32" t="s">
        <v>34</v>
      </c>
    </row>
    <row r="154" spans="1:9" x14ac:dyDescent="0.3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361</v>
      </c>
      <c r="F154" s="28" t="s">
        <v>101</v>
      </c>
      <c r="G154" s="30">
        <v>382</v>
      </c>
      <c r="H154" s="30" t="s">
        <v>362</v>
      </c>
      <c r="I154" s="32" t="s">
        <v>34</v>
      </c>
    </row>
    <row r="155" spans="1:9" x14ac:dyDescent="0.3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363</v>
      </c>
      <c r="F155" s="28" t="s">
        <v>6</v>
      </c>
      <c r="G155" s="30">
        <v>37</v>
      </c>
      <c r="H155" s="30" t="s">
        <v>364</v>
      </c>
      <c r="I155" s="32" t="s">
        <v>35</v>
      </c>
    </row>
    <row r="156" spans="1:9" x14ac:dyDescent="0.3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363</v>
      </c>
      <c r="F156" s="28" t="s">
        <v>6</v>
      </c>
      <c r="G156" s="30">
        <v>2</v>
      </c>
      <c r="H156" s="30" t="s">
        <v>365</v>
      </c>
      <c r="I156" s="32" t="s">
        <v>35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5.81640625" bestFit="1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98.5" x14ac:dyDescent="0.35">
      <c r="A1" s="25" t="s">
        <v>335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82B9673-ED21-4933-9A9C-773CB2F4F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BCADA38-B649-43B5-8987-30F05437E1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E6D488-2A3F-46E6-B9DE-C01E1051C417}">
  <ds:schemaRefs>
    <ds:schemaRef ds:uri="http://purl.org/dc/dcmitype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9ac7e9dd-8d2d-4750-b54a-f534515ac3a2"/>
    <ds:schemaRef ds:uri="82b749e3-8208-459a-bfc0-9b428d09cbab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2026-08-25T15:29:42Z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