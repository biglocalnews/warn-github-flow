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D8E4DB3A-3E82-4E0F-8548-C666ABE3A79E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<sst xmlns="http://schemas.openxmlformats.org/spreadsheetml/2006/main" count="996" uniqueCount="422">
  <si>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</si>
  <si>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</si>
  <si>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</si>
  <si>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</si>
  <si>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</si>
  <si>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</si>
  <si>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</si>
  <si>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</si>
  <si>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</si>
  <si>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</si>
  <si>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</si>
  <si>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</si>
  <si>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</si>
  <si>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</si>
  <si>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</si>
  <si>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</si>
  <si>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</si>
  <si>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</si>
  <si>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</si>
  <si>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</si>
  <si>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</si>
  <si>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</si>
  <si>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</si>
  <si>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</si>
  <si>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</si>
  <si>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</si>
  <si>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</si>
  <si>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</si>
  <si>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</si>
  <si>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</si>
  <si>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</si>
  <si>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</si>
  <si>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</si>
  <si>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</si>
  <si>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</si>
  <si>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</si>
  <si>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</si>
  <si>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</si>
  <si>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</si>
  <si>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</si>
  <si>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</si>
  <si>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</si>
  <si>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</si>
  <si>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</si>
  <si>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</si>
  <si>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</si>
  <si>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</si>
  <si>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</si>
  <si>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</si>
  <si>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</si>
  <si>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</si>
  <si>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</si>
  <si>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</si>
  <si>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</si>
  <si>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</si>
  <si>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</si>
  <si>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</si>
  <si>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</si>
  <si>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</si>
  <si>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</si>
  <si>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</si>
  <si>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</si>
  <si>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</si>
  <si>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</si>
  <si>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</si>
  <si>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</si>
  <si>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</si>
  <si>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</si>
  <si>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</si>
  <si>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</si>
  <si>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</si>
  <si>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</si>
  <si>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</si>
  <si>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</si>
  <si>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</si>
  <si>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</si>
  <si>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</si>
  <si>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</si>
  <si>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</si>
  <si>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</si>
  <si>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</si>
  <si>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</si>
  <si>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</si>
  <si>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</si>
  <si>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</si>
  <si>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</si>
  <si>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</si>
  <si>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</si>
  <si>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</si>
  <si>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</si>
  <si>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</si>
  <si>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</si>
  <si>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</si>
  <si>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</si>
  <si>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</si>
  <si>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</si>
  <si>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</si>
  <si>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</si>
  <si>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</si>
  <si>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</si>
  <si>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</si>
  <si>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</si>
  <si>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</si>
  <si>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</si>
  <si>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</si>
  <si>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</si>
  <si>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</si>
  <si>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</si>
  <si>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</si>
  <si>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</si>
  <si>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</si>
  <si>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</si>
  <si>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</si>
  <si>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</si>
  <si>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</si>
  <si>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</si>
  <si>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</si>
  <si>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</si>
  <si>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</si>
  <si>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</si>
  <si>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</si>
  <si>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</si>
  <si>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</si>
  <si>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</si>
  <si>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</si>
  <si>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</si>
  <si>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</si>
  <si>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</si>
  <si>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</si>
  <si>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</si>
  <si>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</si>
  <si>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</si>
  <si>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</si>
  <si>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</si>
  <si>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</si>
  <si>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</si>
  <si>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</si>
  <si>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</si>
  <si>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</si>
  <si>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</si>
  <si>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</si>
  <si>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</si>
  <si>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</si>
  <si>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</si>
  <si>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</si>
  <si>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</si>
  <si>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</si>
  <si>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</si>
  <si>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</si>
  <si>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</si>
  <si>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</si>
  <si>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</si>
  <si>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</si>
  <si>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</si>
  <si>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</si>
  <si>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</si>
  <si>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</si>
  <si>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</si>
  <si>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</si>
  <si>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</si>
  <si>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</si>
  <si>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</si>
  <si>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</si>
  <si>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</si>
  <si>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</si>
  <si>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</si>
  <si>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</si>
  <si>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</si>
  <si>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</si>
  <si>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</si>
  <si>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</si>
  <si>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</si>
  <si>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</si>
  <si>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</si>
  <si>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</si>
  <si>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</si>
  <si>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</si>
  <si>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</si>
  <si>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</si>
  <si>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</si>
  <si>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</si>
  <si>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</si>
  <si>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</si>
  <si>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</si>
  <si>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</si>
  <si>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</si>
  <si>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</si>
  <si>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</si>
  <si>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</si>
  <si>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</si>
  <si>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</si>
  <si>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</si>
  <si>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</si>
  <si>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</si>
  <si>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</si>
  <si>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</si>
  <si>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</si>
  <si>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</si>
  <si>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</si>
  <si>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</si>
  <si>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</si>
  <si>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</si>
  <si>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</si>
  <si>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</si>
  <si>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</si>
  <si>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</si>
  <si>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</si>
  <si>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</si>
  <si>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</si>
  <si>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</si>
  <si>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</si>
  <si>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</si>
  <si>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</si>
  <si>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</si>
  <si>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</si>
  <si>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</si>
  <si>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</si>
  <si>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</si>
  <si>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</si>
  <si>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</si>
  <si>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</si>
  <si>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</si>
  <si>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</si>
  <si>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</si>
  <si>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</si>
  <si>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</si>
  <si>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</si>
  <si>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</si>
  <si>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</si>
  <si>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</si>
  <si>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</si>
  <si>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</si>
  <si>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</si>
  <si>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</si>
  <si>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</si>
  <si>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</si>
  <si>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</si>
  <si>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</si>
  <si>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</si>
  <si>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</si>
  <si>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</si>
  <si>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</si>
  <si>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</si>
  <si>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</si>
  <si>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</si>
  <si>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</si>
  <si>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</si>
  <si>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</si>
  <si>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</si>
  <si>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</si>
  <si>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</si>
  <si>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</si>
  <si>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</si>
  <si>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</si>
  <si>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</si>
  <si>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</si>
  <si>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</si>
  <si>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</si>
  <si>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</si>
  <si>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</si>
  <si>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</si>
  <si>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</si>
  <si>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</si>
  <si>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</si>
  <si>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</si>
  <si>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</si>
  <si>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</si>
  <si>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</si>
  <si>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</si>
  <si>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</si>
  <si>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</si>
  <si>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</si>
  <si>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</si>
  <si>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</si>
  <si>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</si>
  <si>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</si>
  <si>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</si>
  <si>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</si>
  <si>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</si>
  <si>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</si>
  <si>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</si>
  <si>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</si>
  <si>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</si>
  <si>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</si>
  <si>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</si>
  <si>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</si>
  <si>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</si>
  <si>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</si>
  <si>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</si>
  <si>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</si>
  <si>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</si>
  <si>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</si>
  <si>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</si>
  <si>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</si>
  <si>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</si>
  <si>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</si>
  <si>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</si>
  <si>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</si>
  <si>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</si>
  <si>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</si>
  <si>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</si>
  <si>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</si>
  <si>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</si>
  <si>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</si>
  <si>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</si>
  <si>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</si>
  <si>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</si>
  <si>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</si>
  <si>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</si>
  <si>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</si>
  <si>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</si>
  <si>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</si>
  <si>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</si>
  <si>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</si>
  <si>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</si>
  <si>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</si>
  <si>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</si>
  <si>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</si>
  <si>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</si>
  <si>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</si>
  <si>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</si>
  <si>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</si>
  <si>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</si>
  <si>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</si>
  <si>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</si>
  <si>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</si>
  <si>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</si>
  <si>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</si>
  <si>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</si>
  <si>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</si>
  <si>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</si>
  <si>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</si>
  <si>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</si>
  <si>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</si>
  <si>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</si>
  <si>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</si>
  <si>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</si>
  <si>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</si>
  <si>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</si>
  <si>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</si>
  <si>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</si>
  <si>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</si>
  <si>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</si>
  <si>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</si>
  <si>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</si>
  <si>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</si>
  <si>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</si>
  <si>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</si>
  <si>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</si>
  <si>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</si>
  <si>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</si>
  <si>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</si>
  <si>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</si>
  <si>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</si>
  <si>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</si>
  <si>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</si>
  <si>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</si>
  <si>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</si>
  <si>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</si>
  <si>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</si>
  <si>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</si>
  <si>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</si>
  <si>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</si>
  <si>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</si>
  <si>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</si>
  <si>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</si>
  <si>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</si>
  <si>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Relocation Permanent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</si>
  <si>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01/01/2023 - 08/31/2026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</si>
  <si>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</si>
  <si>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</si>
  <si>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</si>
  <si>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</si>
  <si>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</si>
  <si>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</si>
  <si>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</si>
  <si>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</si>
  <si>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</si>
  <si>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</si>
  <si>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</si>
  <si>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</si>
  <si>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</si>
  <si>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</si>
  <si>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</si>
  <si>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</si>
  <si>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</si>
  <si>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</si>
  <si>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</si>
  <si>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</si>
  <si>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</si>
  <si>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</si>
  <si>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</si>
  <si>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</si>
  <si>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</si>
  <si>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</si>
  <si>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</si>
  <si>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</si>
  <si>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</si>
  <si>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</si>
  <si>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</si>
  <si>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</si>
  <si>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</si>
  <si>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</si>
  <si>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</si>
  <si>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</si>
  <si>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</si>
  <si>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</si>
  <si>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</si>
  <si>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</si>
  <si>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</si>
  <si>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</si>
  <si>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</si>
  <si>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</si>
  <si>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</si>
  <si>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</si>
  <si>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</si>
  <si>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</si>
  <si>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</si>
  <si>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</si>
  <si>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</si>
  <si>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</si>
  <si>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r>
      <t xml:space="preserve">WARN REPORT - </t>
    </r>
    <r>
      <rPr>
        <b/>
        <sz val="12"/>
        <rFont val="Calibri"/>
        <family val="2"/>
        <scheme val="minor"/>
      </rPr>
      <t>07/01/26 to 08/31/2026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I187.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</si>
</sst>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87" totalsRowShown="0" headerRowDxfId="31" dataDxfId="30">
  <autoFilter ref="A2:I187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9062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36328125" style="3" bestFit="1" customWidth="1"/>
    <col min="2" max="2" width="5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9425</v>
      </c>
    </row>
    <row r="4" spans="1:2" x14ac:dyDescent="0.35">
      <c r="A4" s="2" t="s">
        <v>9</v>
      </c>
      <c r="B4" s="11">
        <f>COUNTIF('Detailed WARN Report '!F:F,"Layoff Permanent")</f>
        <v>128</v>
      </c>
    </row>
    <row r="5" spans="1:2" x14ac:dyDescent="0.35">
      <c r="A5" s="2" t="s">
        <v>10</v>
      </c>
      <c r="B5" s="11">
        <f>COUNTIF('Detailed WARN Report '!F:F,"Layoff Temporary")</f>
        <v>6</v>
      </c>
    </row>
    <row r="6" spans="1:2" x14ac:dyDescent="0.35">
      <c r="A6" s="2" t="s">
        <v>11</v>
      </c>
      <c r="B6" s="11">
        <f>COUNTIF('Detailed WARN Report '!F:F,"Layoff Not known at this time")</f>
        <v>0</v>
      </c>
    </row>
    <row r="7" spans="1:2" x14ac:dyDescent="0.35">
      <c r="A7" s="2" t="s">
        <v>12</v>
      </c>
      <c r="B7" s="11">
        <f>COUNTIF('Detailed WARN Report '!F:F,"Closure Permanent")</f>
        <v>48</v>
      </c>
    </row>
    <row r="8" spans="1:2" x14ac:dyDescent="0.35">
      <c r="A8" s="2" t="s">
        <v>13</v>
      </c>
      <c r="B8" s="11">
        <f>COUNTIF('Detailed WARN Report '!F:F,"Closure Temporary")</f>
        <v>2</v>
      </c>
    </row>
    <row r="9" spans="1:2" x14ac:dyDescent="0.3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87"/>
  <sheetViews>
    <sheetView zoomScaleNormal="100" workbookViewId="0"/>
  </sheetViews>
  <sheetFormatPr defaultColWidth="161.453125" defaultRowHeight="14.5" x14ac:dyDescent="0.35"/>
  <cols>
    <col min="1" max="1" width="28.6328125" style="3" bestFit="1" customWidth="1"/>
    <col min="2" max="2" width="8.26953125" style="8" bestFit="1" customWidth="1"/>
    <col min="3" max="3" width="11.7265625" style="8" bestFit="1" customWidth="1"/>
    <col min="4" max="4" width="10.1796875" style="8" bestFit="1" customWidth="1"/>
    <col min="5" max="5" width="43.7265625" style="10" bestFit="1" customWidth="1"/>
    <col min="6" max="6" width="15.26953125" style="3" bestFit="1" customWidth="1"/>
    <col min="7" max="7" width="12.08984375" style="3" bestFit="1" customWidth="1"/>
    <col min="8" max="8" width="48.08984375" style="3" bestFit="1" customWidth="1"/>
    <col min="9" max="9" width="49.453125" style="3" bestFit="1" customWidth="1"/>
    <col min="10" max="10" width="22.54296875" customWidth="1"/>
    <col min="11" max="11" width="13.1796875" customWidth="1"/>
    <col min="12" max="12" width="12.7265625" customWidth="1"/>
    <col min="13" max="13" width="11.81640625" customWidth="1"/>
    <col min="14" max="14" width="15" customWidth="1"/>
  </cols>
  <sheetData>
    <row r="1" spans="1:9" ht="100" x14ac:dyDescent="0.35">
      <c r="A1" s="16" t="s">
        <v>421</v>
      </c>
      <c r="E1" s="3"/>
    </row>
    <row r="2" spans="1:9" ht="24" x14ac:dyDescent="0.3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3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3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3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3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3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3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3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3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3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3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3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3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3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3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3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3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3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3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3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3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3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3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3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3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3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3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3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3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3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3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3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3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3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3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3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3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3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3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3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3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3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3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3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3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3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3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3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3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3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3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3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3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3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3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3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3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3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3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3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3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3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3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3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3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3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3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3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3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3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3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3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3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3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3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3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3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3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3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3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3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3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3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3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3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3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3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3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3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3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3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3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3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3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3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3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3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3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3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3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3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3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3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3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3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3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3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3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3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3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3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3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3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3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3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3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3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3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3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3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3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3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3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3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3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3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3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3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3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3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3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3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3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3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3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3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3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3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3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3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367</v>
      </c>
      <c r="G141" s="30">
        <v>73</v>
      </c>
      <c r="H141" s="30" t="s">
        <v>339</v>
      </c>
      <c r="I141" s="32" t="s">
        <v>34</v>
      </c>
    </row>
    <row r="142" spans="1:9" x14ac:dyDescent="0.3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3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3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3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3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3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3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3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3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3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3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3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3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3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3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3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3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369</v>
      </c>
      <c r="F158" s="28" t="s">
        <v>6</v>
      </c>
      <c r="G158" s="30">
        <v>1</v>
      </c>
      <c r="H158" s="30" t="s">
        <v>370</v>
      </c>
      <c r="I158" s="32" t="s">
        <v>45</v>
      </c>
    </row>
    <row r="159" spans="1:9" x14ac:dyDescent="0.3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371</v>
      </c>
      <c r="F159" s="28" t="s">
        <v>6</v>
      </c>
      <c r="G159" s="30">
        <v>23</v>
      </c>
      <c r="H159" s="30" t="s">
        <v>372</v>
      </c>
      <c r="I159" s="32" t="s">
        <v>45</v>
      </c>
    </row>
    <row r="160" spans="1:9" x14ac:dyDescent="0.3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373</v>
      </c>
      <c r="F160" s="28" t="s">
        <v>6</v>
      </c>
      <c r="G160" s="30">
        <v>4</v>
      </c>
      <c r="H160" s="30" t="s">
        <v>374</v>
      </c>
      <c r="I160" s="32" t="s">
        <v>45</v>
      </c>
    </row>
    <row r="161" spans="1:9" x14ac:dyDescent="0.3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375</v>
      </c>
      <c r="F161" s="28" t="s">
        <v>6</v>
      </c>
      <c r="G161" s="30">
        <v>15</v>
      </c>
      <c r="H161" s="30" t="s">
        <v>376</v>
      </c>
      <c r="I161" s="32" t="s">
        <v>45</v>
      </c>
    </row>
    <row r="162" spans="1:9" x14ac:dyDescent="0.3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377</v>
      </c>
      <c r="F162" s="28" t="s">
        <v>6</v>
      </c>
      <c r="G162" s="30">
        <v>2</v>
      </c>
      <c r="H162" s="30" t="s">
        <v>378</v>
      </c>
      <c r="I162" s="32" t="s">
        <v>45</v>
      </c>
    </row>
    <row r="163" spans="1:9" x14ac:dyDescent="0.3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379</v>
      </c>
      <c r="F163" s="28" t="s">
        <v>6</v>
      </c>
      <c r="G163" s="30">
        <v>15</v>
      </c>
      <c r="H163" s="30" t="s">
        <v>380</v>
      </c>
      <c r="I163" s="32" t="s">
        <v>45</v>
      </c>
    </row>
    <row r="164" spans="1:9" x14ac:dyDescent="0.3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379</v>
      </c>
      <c r="F164" s="28" t="s">
        <v>6</v>
      </c>
      <c r="G164" s="30">
        <v>3</v>
      </c>
      <c r="H164" s="30" t="s">
        <v>380</v>
      </c>
      <c r="I164" s="32" t="s">
        <v>45</v>
      </c>
    </row>
    <row r="165" spans="1:9" x14ac:dyDescent="0.3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381</v>
      </c>
      <c r="F165" s="28" t="s">
        <v>6</v>
      </c>
      <c r="G165" s="30">
        <v>2</v>
      </c>
      <c r="H165" s="30" t="s">
        <v>382</v>
      </c>
      <c r="I165" s="32" t="s">
        <v>45</v>
      </c>
    </row>
    <row r="166" spans="1:9" x14ac:dyDescent="0.3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383</v>
      </c>
      <c r="F166" s="28" t="s">
        <v>6</v>
      </c>
      <c r="G166" s="30">
        <v>1</v>
      </c>
      <c r="H166" s="30" t="s">
        <v>384</v>
      </c>
      <c r="I166" s="32" t="s">
        <v>45</v>
      </c>
    </row>
    <row r="167" spans="1:9" x14ac:dyDescent="0.3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385</v>
      </c>
      <c r="F167" s="28" t="s">
        <v>6</v>
      </c>
      <c r="G167" s="30">
        <v>2</v>
      </c>
      <c r="H167" s="30" t="s">
        <v>386</v>
      </c>
      <c r="I167" s="32" t="s">
        <v>45</v>
      </c>
    </row>
    <row r="168" spans="1:9" x14ac:dyDescent="0.3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387</v>
      </c>
      <c r="F168" s="28" t="s">
        <v>6</v>
      </c>
      <c r="G168" s="30">
        <v>6</v>
      </c>
      <c r="H168" s="30" t="s">
        <v>374</v>
      </c>
      <c r="I168" s="32" t="s">
        <v>45</v>
      </c>
    </row>
    <row r="169" spans="1:9" x14ac:dyDescent="0.3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388</v>
      </c>
      <c r="F169" s="28" t="s">
        <v>6</v>
      </c>
      <c r="G169" s="30">
        <v>1</v>
      </c>
      <c r="H169" s="30" t="s">
        <v>376</v>
      </c>
      <c r="I169" s="32" t="s">
        <v>45</v>
      </c>
    </row>
    <row r="170" spans="1:9" x14ac:dyDescent="0.3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389</v>
      </c>
      <c r="F170" s="28" t="s">
        <v>6</v>
      </c>
      <c r="G170" s="30">
        <v>1</v>
      </c>
      <c r="H170" s="30" t="s">
        <v>390</v>
      </c>
      <c r="I170" s="32" t="s">
        <v>45</v>
      </c>
    </row>
    <row r="171" spans="1:9" x14ac:dyDescent="0.3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391</v>
      </c>
      <c r="F171" s="28" t="s">
        <v>6</v>
      </c>
      <c r="G171" s="30">
        <v>1</v>
      </c>
      <c r="H171" s="30" t="s">
        <v>382</v>
      </c>
      <c r="I171" s="32" t="s">
        <v>45</v>
      </c>
    </row>
    <row r="172" spans="1:9" x14ac:dyDescent="0.3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392</v>
      </c>
      <c r="F172" s="28" t="s">
        <v>6</v>
      </c>
      <c r="G172" s="30">
        <v>1</v>
      </c>
      <c r="H172" s="30" t="s">
        <v>390</v>
      </c>
      <c r="I172" s="32" t="s">
        <v>45</v>
      </c>
    </row>
    <row r="173" spans="1:9" x14ac:dyDescent="0.3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393</v>
      </c>
      <c r="F173" s="28" t="s">
        <v>6</v>
      </c>
      <c r="G173" s="30">
        <v>7</v>
      </c>
      <c r="H173" s="30" t="s">
        <v>394</v>
      </c>
      <c r="I173" s="32" t="s">
        <v>34</v>
      </c>
    </row>
    <row r="174" spans="1:9" x14ac:dyDescent="0.3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395</v>
      </c>
      <c r="F174" s="28" t="s">
        <v>52</v>
      </c>
      <c r="G174" s="30">
        <v>51</v>
      </c>
      <c r="H174" s="30" t="s">
        <v>396</v>
      </c>
      <c r="I174" s="32" t="s">
        <v>36</v>
      </c>
    </row>
    <row r="175" spans="1:9" x14ac:dyDescent="0.3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397</v>
      </c>
      <c r="F175" s="28" t="s">
        <v>6</v>
      </c>
      <c r="G175" s="30">
        <v>79</v>
      </c>
      <c r="H175" s="30" t="s">
        <v>398</v>
      </c>
      <c r="I175" s="32" t="s">
        <v>45</v>
      </c>
    </row>
    <row r="176" spans="1:9" x14ac:dyDescent="0.3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399</v>
      </c>
      <c r="F176" s="28" t="s">
        <v>6</v>
      </c>
      <c r="G176" s="30">
        <v>16</v>
      </c>
      <c r="H176" s="30" t="s">
        <v>400</v>
      </c>
      <c r="I176" s="32" t="s">
        <v>45</v>
      </c>
    </row>
    <row r="177" spans="1:9" x14ac:dyDescent="0.3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3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401</v>
      </c>
      <c r="F178" s="28" t="s">
        <v>52</v>
      </c>
      <c r="G178" s="30">
        <v>189</v>
      </c>
      <c r="H178" s="30" t="s">
        <v>402</v>
      </c>
      <c r="I178" s="32" t="s">
        <v>41</v>
      </c>
    </row>
    <row r="179" spans="1:9" x14ac:dyDescent="0.3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403</v>
      </c>
      <c r="F179" s="28" t="s">
        <v>6</v>
      </c>
      <c r="G179" s="30">
        <v>23</v>
      </c>
      <c r="H179" s="30" t="s">
        <v>404</v>
      </c>
      <c r="I179" s="32" t="s">
        <v>45</v>
      </c>
    </row>
    <row r="180" spans="1:9" x14ac:dyDescent="0.3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405</v>
      </c>
      <c r="F180" s="28" t="s">
        <v>6</v>
      </c>
      <c r="G180" s="30">
        <v>16</v>
      </c>
      <c r="H180" s="30" t="s">
        <v>406</v>
      </c>
      <c r="I180" s="32" t="s">
        <v>45</v>
      </c>
    </row>
    <row r="181" spans="1:9" x14ac:dyDescent="0.3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407</v>
      </c>
      <c r="F181" s="28" t="s">
        <v>6</v>
      </c>
      <c r="G181" s="30">
        <v>16</v>
      </c>
      <c r="H181" s="30" t="s">
        <v>408</v>
      </c>
      <c r="I181" s="32" t="s">
        <v>45</v>
      </c>
    </row>
    <row r="182" spans="1:9" x14ac:dyDescent="0.3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409</v>
      </c>
      <c r="F182" s="28" t="s">
        <v>6</v>
      </c>
      <c r="G182" s="30">
        <v>13</v>
      </c>
      <c r="H182" s="30" t="s">
        <v>410</v>
      </c>
      <c r="I182" s="32" t="s">
        <v>45</v>
      </c>
    </row>
    <row r="183" spans="1:9" x14ac:dyDescent="0.3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411</v>
      </c>
      <c r="F183" s="28" t="s">
        <v>6</v>
      </c>
      <c r="G183" s="30">
        <v>28</v>
      </c>
      <c r="H183" s="30" t="s">
        <v>412</v>
      </c>
      <c r="I183" s="32" t="s">
        <v>41</v>
      </c>
    </row>
    <row r="184" spans="1:9" x14ac:dyDescent="0.3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413</v>
      </c>
      <c r="F184" s="28" t="s">
        <v>6</v>
      </c>
      <c r="G184" s="30">
        <v>70</v>
      </c>
      <c r="H184" s="30" t="s">
        <v>414</v>
      </c>
      <c r="I184" s="32" t="s">
        <v>41</v>
      </c>
    </row>
    <row r="185" spans="1:9" x14ac:dyDescent="0.3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415</v>
      </c>
      <c r="F185" s="28" t="s">
        <v>6</v>
      </c>
      <c r="G185" s="30">
        <v>128</v>
      </c>
      <c r="H185" s="30" t="s">
        <v>416</v>
      </c>
      <c r="I185" s="32" t="s">
        <v>38</v>
      </c>
    </row>
    <row r="186" spans="1:9" x14ac:dyDescent="0.3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417</v>
      </c>
      <c r="F186" s="28" t="s">
        <v>6</v>
      </c>
      <c r="G186" s="30">
        <v>78</v>
      </c>
      <c r="H186" s="30" t="s">
        <v>418</v>
      </c>
      <c r="I186" s="32" t="s">
        <v>41</v>
      </c>
    </row>
    <row r="187" spans="1:9" x14ac:dyDescent="0.3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419</v>
      </c>
      <c r="F187" s="28" t="s">
        <v>6</v>
      </c>
      <c r="G187" s="30">
        <v>738</v>
      </c>
      <c r="H187" s="30" t="s">
        <v>420</v>
      </c>
      <c r="I187" s="32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36328125" bestFit="1" customWidth="1"/>
    <col min="2" max="2" width="7.453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5.81640625" bestFit="1" customWidth="1"/>
    <col min="2" max="2" width="8.1796875" style="18" bestFit="1" customWidth="1"/>
    <col min="3" max="3" width="11.7265625" style="18" bestFit="1" customWidth="1"/>
    <col min="4" max="4" width="10.1796875" style="18" bestFit="1" customWidth="1"/>
    <col min="5" max="5" width="29.81640625" style="1" bestFit="1" customWidth="1"/>
    <col min="6" max="6" width="12.81640625" bestFit="1" customWidth="1"/>
    <col min="7" max="7" width="12.08984375" bestFit="1" customWidth="1"/>
    <col min="8" max="8" width="32.81640625" bestFit="1" customWidth="1"/>
  </cols>
  <sheetData>
    <row r="1" spans="1:8" ht="98.5" x14ac:dyDescent="0.35">
      <c r="A1" s="25" t="s">
        <v>368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352F60-0FA2-4515-85B2-A5D11A83DA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F2EFFE-C1BF-492E-A55D-4D62B857E2F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7EBD67-6909-417A-9A96-7CE6BE680C9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www.w3.org/XML/1998/namespace"/>
    <ds:schemaRef ds:uri="82b749e3-8208-459a-bfc0-9b428d09cbab"/>
    <ds:schemaRef ds:uri="http://schemas.microsoft.com/office/infopath/2007/PartnerControls"/>
    <ds:schemaRef ds:uri="http://schemas.openxmlformats.org/package/2006/metadata/core-properties"/>
    <ds:schemaRef ds:uri="9ac7e9dd-8d2d-4750-b54a-f534515ac3a2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2026-09-01T15:35:00Z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