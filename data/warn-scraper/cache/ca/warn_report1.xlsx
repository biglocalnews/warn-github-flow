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433E8CBC-9486-44C1-9951-318B0786ED4E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<sst xmlns="http://schemas.openxmlformats.org/spreadsheetml/2006/main" count="1221" uniqueCount="505">
  <si>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</si>
  <si>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</si>
  <si>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</si>
  <si>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</si>
  <si>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</si>
  <si>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</si>
  <si>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</si>
  <si>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</si>
  <si>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</si>
  <si>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</si>
  <si>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</si>
  <si>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</si>
  <si>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</si>
  <si>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</si>
  <si>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</si>
  <si>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</si>
  <si>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</si>
  <si>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</si>
  <si>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</si>
  <si>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</si>
  <si>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</si>
  <si>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</si>
  <si>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</si>
  <si>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</si>
  <si>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</si>
  <si>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</si>
  <si>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</si>
  <si>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</si>
  <si>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</si>
  <si>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</si>
  <si>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</si>
  <si>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</si>
  <si>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</si>
  <si>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</si>
  <si>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</si>
  <si>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</si>
  <si>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</si>
  <si>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</si>
  <si>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</si>
  <si>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</si>
  <si>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</si>
  <si>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</si>
  <si>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</si>
  <si>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</si>
  <si>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</si>
  <si>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</si>
  <si>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</si>
  <si>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</si>
  <si>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</si>
  <si>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</si>
  <si>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</si>
  <si>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</si>
  <si>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</si>
  <si>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</si>
  <si>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</si>
  <si>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</si>
  <si>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</si>
  <si>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</si>
  <si>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</si>
  <si>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</si>
  <si>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</si>
  <si>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</si>
  <si>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</si>
  <si>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</si>
  <si>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</si>
  <si>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</si>
  <si>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</si>
  <si>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</si>
  <si>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</si>
  <si>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</si>
  <si>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</si>
  <si>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</si>
  <si>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</si>
  <si>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</si>
  <si>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</si>
  <si>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</si>
  <si>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</si>
  <si>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</si>
  <si>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</si>
  <si>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</si>
  <si>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</si>
  <si>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</si>
  <si>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</si>
  <si>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</si>
  <si>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</si>
  <si>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</si>
  <si>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</si>
  <si>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</si>
  <si>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</si>
  <si>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</si>
  <si>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</si>
  <si>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</si>
  <si>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</si>
  <si>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</si>
  <si>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</si>
  <si>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</si>
  <si>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</si>
  <si>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</si>
  <si>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</si>
  <si>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</si>
  <si>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</si>
  <si>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</si>
  <si>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</si>
  <si>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</si>
  <si>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</si>
  <si>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</si>
  <si>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</si>
  <si>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</si>
  <si>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</si>
  <si>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</si>
  <si>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</si>
  <si>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</si>
  <si>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</si>
  <si>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</si>
  <si>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</si>
  <si>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</si>
  <si>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</si>
  <si>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</si>
  <si>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</si>
  <si>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</si>
  <si>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</si>
  <si>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</si>
  <si>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</si>
  <si>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</si>
  <si>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</si>
  <si>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</si>
  <si>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</si>
  <si>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</si>
  <si>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</si>
  <si>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</si>
  <si>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</si>
  <si>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</si>
  <si>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</si>
  <si>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</si>
  <si>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</si>
  <si>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</si>
  <si>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</si>
  <si>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</si>
  <si>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</si>
  <si>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</si>
  <si>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</si>
  <si>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</si>
  <si>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</si>
  <si>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</si>
  <si>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</si>
  <si>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</si>
  <si>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</si>
  <si>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</si>
  <si>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</si>
  <si>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</si>
  <si>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</si>
  <si>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</si>
  <si>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</si>
  <si>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</si>
  <si>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</si>
  <si>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</si>
  <si>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</si>
  <si>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</si>
  <si>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</si>
  <si>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</si>
  <si>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</si>
  <si>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</si>
  <si>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</si>
  <si>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</si>
  <si>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</si>
  <si>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</si>
  <si>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</si>
  <si>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</si>
  <si>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</si>
  <si>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</si>
  <si>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</si>
  <si>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</si>
  <si>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</si>
  <si>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</si>
  <si>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</si>
  <si>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</si>
  <si>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</si>
  <si>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</si>
  <si>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</si>
  <si>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</si>
  <si>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</si>
  <si>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</si>
  <si>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</si>
  <si>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</si>
  <si>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</si>
  <si>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</si>
  <si>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</si>
  <si>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</si>
  <si>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</si>
  <si>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</si>
  <si>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</si>
  <si>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</si>
  <si>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</si>
  <si>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</si>
  <si>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</si>
  <si>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</si>
  <si>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</si>
  <si>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</si>
  <si>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</si>
  <si>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</si>
  <si>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</si>
  <si>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</si>
  <si>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</si>
  <si>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</si>
  <si>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</si>
  <si>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</si>
  <si>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</si>
  <si>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</si>
  <si>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</si>
  <si>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</si>
  <si>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</si>
  <si>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</si>
  <si>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</si>
  <si>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</si>
  <si>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</si>
  <si>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</si>
  <si>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</si>
  <si>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</si>
  <si>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</si>
  <si>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</si>
  <si>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</si>
  <si>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</si>
  <si>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</si>
  <si>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</si>
  <si>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</si>
  <si>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</si>
  <si>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</si>
  <si>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</si>
  <si>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</si>
  <si>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</si>
  <si>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</si>
  <si>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</si>
  <si>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</si>
  <si>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</si>
  <si>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</si>
  <si>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</si>
  <si>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</si>
  <si>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</si>
  <si>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</si>
  <si>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</si>
  <si>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</si>
  <si>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</si>
  <si>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</si>
  <si>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</si>
  <si>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</si>
  <si>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</si>
  <si>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</si>
  <si>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</si>
  <si>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</si>
  <si>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</si>
  <si>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</si>
  <si>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</si>
  <si>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</si>
  <si>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</si>
  <si>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</si>
  <si>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</si>
  <si>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</si>
  <si>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</si>
  <si>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</si>
  <si>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</si>
  <si>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</si>
  <si>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</si>
  <si>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</si>
  <si>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</si>
  <si>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</si>
  <si>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</si>
  <si>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</si>
  <si>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</si>
  <si>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</si>
  <si>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</si>
  <si>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</si>
  <si>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</si>
  <si>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</si>
  <si>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</si>
  <si>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</si>
  <si>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</si>
  <si>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</si>
  <si>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</si>
  <si>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</si>
  <si>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</si>
  <si>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</si>
  <si>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</si>
  <si>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</si>
  <si>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</si>
  <si>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</si>
  <si>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</si>
  <si>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</si>
  <si>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</si>
  <si>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</si>
  <si>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</si>
  <si>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</si>
  <si>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</si>
  <si>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</si>
  <si>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</si>
  <si>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</si>
  <si>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</si>
  <si>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</si>
  <si>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</si>
  <si>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</si>
  <si>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</si>
  <si>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</si>
  <si>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</si>
  <si>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</si>
  <si>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</si>
  <si>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</si>
  <si>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</si>
  <si>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</si>
  <si>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</si>
  <si>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</si>
  <si>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</si>
  <si>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</si>
  <si>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</si>
  <si>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</si>
  <si>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</si>
  <si>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</si>
  <si>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</si>
  <si>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</si>
  <si>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</si>
  <si>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</si>
  <si>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</si>
  <si>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</si>
  <si>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</si>
  <si>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</si>
  <si>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</si>
  <si>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</si>
  <si>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</si>
  <si>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</si>
  <si>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</si>
  <si>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</si>
  <si>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</si>
  <si>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</si>
  <si>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</si>
  <si>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</si>
  <si>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</si>
  <si>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</si>
  <si>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</si>
  <si>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</si>
  <si>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</si>
  <si>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</si>
  <si>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</si>
  <si>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</si>
  <si>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</si>
  <si>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</si>
  <si>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</si>
  <si>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</si>
  <si>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</si>
  <si>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</si>
  <si>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</si>
  <si>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</si>
  <si>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</si>
  <si>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</si>
  <si>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</si>
  <si>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</si>
  <si>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</si>
  <si>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</si>
  <si>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</si>
  <si>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</si>
  <si>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</si>
  <si>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</si>
  <si>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</si>
  <si>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</si>
  <si>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</si>
  <si>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</si>
  <si>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</si>
  <si>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</si>
  <si>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</si>
  <si>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</si>
  <si>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</si>
  <si>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</si>
  <si>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</si>
  <si>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</si>
  <si>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</si>
  <si>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</si>
  <si>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</si>
  <si>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</si>
  <si>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</si>
  <si>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</si>
  <si>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</si>
  <si>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</si>
  <si>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</si>
  <si>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</si>
  <si>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</si>
  <si>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</si>
  <si>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</si>
  <si>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</si>
  <si>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</si>
  <si>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</si>
  <si>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</si>
  <si>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</si>
  <si>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</si>
  <si>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</si>
  <si>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</si>
  <si>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</si>
  <si>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</si>
  <si>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</si>
  <si>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</si>
  <si>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</si>
  <si>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</si>
  <si>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</si>
  <si>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</si>
  <si>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</si>
  <si>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</si>
  <si>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</si>
  <si>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</si>
  <si>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</si>
  <si>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</si>
  <si>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</si>
  <si>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</si>
  <si>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</si>
  <si>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</si>
  <si>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</si>
  <si>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</si>
  <si>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</si>
  <si>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</si>
  <si>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</si>
  <si>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</si>
  <si>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</si>
  <si>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</si>
  <si>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</si>
  <si>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</si>
  <si>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</si>
  <si>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</si>
  <si>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</si>
  <si>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</si>
  <si>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</si>
  <si>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</si>
  <si>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</si>
  <si>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</si>
  <si>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</si>
  <si>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</si>
  <si>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</si>
  <si>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</si>
  <si>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</si>
  <si>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</si>
  <si>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</si>
  <si>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</si>
  <si>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</si>
  <si>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</si>
  <si>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</si>
  <si>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</si>
  <si>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</si>
  <si>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</si>
  <si>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</si>
  <si>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</si>
  <si>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</si>
  <si>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</si>
  <si>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</si>
  <si>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</si>
  <si>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</si>
  <si>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</si>
  <si>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</si>
  <si>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</si>
  <si>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</si>
  <si>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</si>
  <si>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</si>
  <si>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</si>
  <si>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</si>
  <si>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</si>
  <si>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</si>
  <si>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</si>
  <si>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</si>
  <si>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</si>
  <si>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</si>
  <si>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</si>
  <si>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</si>
  <si>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</si>
  <si>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</si>
  <si>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</si>
  <si>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</si>
  <si>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</si>
  <si>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</si>
  <si>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</si>
  <si>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</si>
  <si>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</si>
  <si>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</si>
  <si>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</si>
  <si>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</si>
  <si>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</si>
  <si>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t>Fuji Food Products, Inc.</t>
  </si>
  <si>
    <t>14420 Bloomfield Ave.  Santa Fe Springs CA 90670</t>
  </si>
  <si>
    <t>LeeMah Electronics</t>
  </si>
  <si>
    <t>15 South Hill Drive  Brisbane CA 94005</t>
  </si>
  <si>
    <t>Uber Technologies, Inc. - 200 Mathilda Place</t>
  </si>
  <si>
    <t>200 Mathilda Place  Sunnyvale CA 94086</t>
  </si>
  <si>
    <t>Uber technologies, Inc. - 190 Mathilda Place</t>
  </si>
  <si>
    <t>190 Mathilda Place  Sunnyvale CA 94086</t>
  </si>
  <si>
    <t>Oracle Pleasanton Campus (Pleasanton Campus)</t>
  </si>
  <si>
    <t>5815 Owens Drive  Pleasanton CA 94588</t>
  </si>
  <si>
    <t>Oracle America, Inc.</t>
  </si>
  <si>
    <t>500 Oracle Parkway  Redwood City CA 94065</t>
  </si>
  <si>
    <t>4230 Leonard Stocking Drive  Santa Clara CA 95054</t>
  </si>
  <si>
    <t>Uber Technologies, Inc. - 1655 3rd Street</t>
  </si>
  <si>
    <t>Uber Technologies, Inc. 1725 3rd Street</t>
  </si>
  <si>
    <t>1725 3rd Street  San Francisco CA 94158</t>
  </si>
  <si>
    <t>Full Steam Staffing (2121 Boeing Way)</t>
  </si>
  <si>
    <t>2121 Boeing Way  Stockton CA 95206</t>
  </si>
  <si>
    <t>Full Steam Staffing (4239 Pock Lane)</t>
  </si>
  <si>
    <t>4239 Pock Lane  Stockton CA 95206</t>
  </si>
  <si>
    <t>DesigneRx Pharmaceuticals, Inc.</t>
  </si>
  <si>
    <t>Pathways Community Services dba Clarvida</t>
  </si>
  <si>
    <t>1360 S. Anaheim Blvd. Suite 101  Anaheim CA 92805</t>
  </si>
  <si>
    <t>1401 N Tustin Ave #225  Santa Ana CA 92706</t>
  </si>
  <si>
    <r>
      <t xml:space="preserve">WARN REPORT - </t>
    </r>
    <r>
      <rPr>
        <b/>
        <sz val="12"/>
        <rFont val="Calibri"/>
        <family val="2"/>
        <scheme val="minor"/>
      </rPr>
      <t>07/01/26 to 09/16/2026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I232.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</si>
  <si>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01/01/2023 - 09/16/2026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</si>
  <si>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Relocation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</si>
</sst>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166" fontId="14" fillId="3" borderId="8" xfId="0" applyNumberFormat="1" applyFont="1" applyFill="1" applyBorder="1" applyAlignment="1">
      <alignment horizontal="left" vertical="top" wrapText="1" readingOrder="1"/>
    </xf>
    <xf numFmtId="0" fontId="14" fillId="3" borderId="8" xfId="0" applyFont="1" applyFill="1" applyBorder="1" applyAlignment="1">
      <alignment vertical="top" wrapText="1" readingOrder="1"/>
    </xf>
    <xf numFmtId="164" fontId="14" fillId="3" borderId="8" xfId="0" applyNumberFormat="1" applyFont="1" applyFill="1" applyBorder="1" applyAlignment="1">
      <alignment horizontal="right"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166" fontId="14" fillId="4" borderId="8" xfId="0" applyNumberFormat="1" applyFont="1" applyFill="1" applyBorder="1" applyAlignment="1">
      <alignment horizontal="left" vertical="top" wrapText="1" readingOrder="1"/>
    </xf>
    <xf numFmtId="0" fontId="14" fillId="4" borderId="8" xfId="0" applyFont="1" applyFill="1" applyBorder="1" applyAlignment="1">
      <alignment vertical="top" wrapText="1" readingOrder="1"/>
    </xf>
    <xf numFmtId="164" fontId="14" fillId="4" borderId="8" xfId="0" applyNumberFormat="1" applyFont="1" applyFill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232" totalsRowShown="0" headerRowDxfId="31" dataDxfId="30">
  <autoFilter ref="A2:I232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12547</v>
      </c>
    </row>
    <row r="4" spans="1:2" x14ac:dyDescent="0.25">
      <c r="A4" s="2" t="s">
        <v>9</v>
      </c>
      <c r="B4" s="11">
        <f>COUNTIF('Detailed WARN Report '!F:F,"Layoff Permanent")</f>
        <v>158</v>
      </c>
    </row>
    <row r="5" spans="1:2" x14ac:dyDescent="0.25">
      <c r="A5" s="2" t="s">
        <v>10</v>
      </c>
      <c r="B5" s="11">
        <f>COUNTIF('Detailed WARN Report '!F:F,"Layoff Temporary")</f>
        <v>6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61</v>
      </c>
    </row>
    <row r="8" spans="1:2" x14ac:dyDescent="0.25">
      <c r="A8" s="2" t="s">
        <v>13</v>
      </c>
      <c r="B8" s="11">
        <f>COUNTIF('Detailed WARN Report '!F:F,"Closure Temporary")</f>
        <v>4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232"/>
  <sheetViews>
    <sheetView zoomScaleNormal="100" workbookViewId="0"/>
  </sheetViews>
  <sheetFormatPr defaultColWidth="161.42578125" defaultRowHeight="15" x14ac:dyDescent="0.25"/>
  <cols>
    <col min="1" max="1" width="28.28515625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5.855468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502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504</v>
      </c>
      <c r="G141" s="30">
        <v>73</v>
      </c>
      <c r="H141" s="30" t="s">
        <v>339</v>
      </c>
      <c r="I141" s="32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2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2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2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2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2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2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2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2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2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2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2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2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2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2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2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2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2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2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2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2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2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2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2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2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2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2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2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2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2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2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2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2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2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2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2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2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2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2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2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2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2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2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2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2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2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450</v>
      </c>
      <c r="F204" s="28" t="s">
        <v>52</v>
      </c>
      <c r="G204" s="30">
        <v>64</v>
      </c>
      <c r="H204" s="30" t="s">
        <v>451</v>
      </c>
      <c r="I204" s="32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452</v>
      </c>
      <c r="F205" s="28" t="s">
        <v>6</v>
      </c>
      <c r="G205" s="30">
        <v>119</v>
      </c>
      <c r="H205" s="30" t="s">
        <v>453</v>
      </c>
      <c r="I205" s="32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454</v>
      </c>
      <c r="F206" s="28" t="s">
        <v>6</v>
      </c>
      <c r="G206" s="30">
        <v>7</v>
      </c>
      <c r="H206" s="30" t="s">
        <v>455</v>
      </c>
      <c r="I206" s="32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456</v>
      </c>
      <c r="F207" s="28" t="s">
        <v>6</v>
      </c>
      <c r="G207" s="30">
        <v>1</v>
      </c>
      <c r="H207" s="30" t="s">
        <v>457</v>
      </c>
      <c r="I207" s="32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458</v>
      </c>
      <c r="F208" s="28" t="s">
        <v>6</v>
      </c>
      <c r="G208" s="30">
        <v>5</v>
      </c>
      <c r="H208" s="30" t="s">
        <v>459</v>
      </c>
      <c r="I208" s="32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460</v>
      </c>
      <c r="F209" s="28" t="s">
        <v>6</v>
      </c>
      <c r="G209" s="30">
        <v>8</v>
      </c>
      <c r="H209" s="30" t="s">
        <v>461</v>
      </c>
      <c r="I209" s="32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462</v>
      </c>
      <c r="F210" s="28" t="s">
        <v>6</v>
      </c>
      <c r="G210" s="30">
        <v>21</v>
      </c>
      <c r="H210" s="30" t="s">
        <v>463</v>
      </c>
      <c r="I210" s="32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464</v>
      </c>
      <c r="F211" s="28" t="s">
        <v>6</v>
      </c>
      <c r="G211" s="30">
        <v>2</v>
      </c>
      <c r="H211" s="30" t="s">
        <v>465</v>
      </c>
      <c r="I211" s="32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466</v>
      </c>
      <c r="F212" s="28" t="s">
        <v>6</v>
      </c>
      <c r="G212" s="30">
        <v>15</v>
      </c>
      <c r="H212" s="30" t="s">
        <v>467</v>
      </c>
      <c r="I212" s="32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468</v>
      </c>
      <c r="F213" s="28" t="s">
        <v>6</v>
      </c>
      <c r="G213" s="30">
        <v>1</v>
      </c>
      <c r="H213" s="30" t="s">
        <v>469</v>
      </c>
      <c r="I213" s="32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470</v>
      </c>
      <c r="F214" s="28" t="s">
        <v>6</v>
      </c>
      <c r="G214" s="30">
        <v>1</v>
      </c>
      <c r="H214" s="30" t="s">
        <v>471</v>
      </c>
      <c r="I214" s="32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472</v>
      </c>
      <c r="F215" s="28" t="s">
        <v>6</v>
      </c>
      <c r="G215" s="30">
        <v>4</v>
      </c>
      <c r="H215" s="30" t="s">
        <v>473</v>
      </c>
      <c r="I215" s="32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474</v>
      </c>
      <c r="F216" s="28" t="s">
        <v>52</v>
      </c>
      <c r="G216" s="30">
        <v>200</v>
      </c>
      <c r="H216" s="30" t="s">
        <v>334</v>
      </c>
      <c r="I216" s="32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475</v>
      </c>
      <c r="F217" s="28" t="s">
        <v>52</v>
      </c>
      <c r="G217" s="30">
        <v>6</v>
      </c>
      <c r="H217" s="30" t="s">
        <v>330</v>
      </c>
      <c r="I217" s="32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476</v>
      </c>
      <c r="F218" s="28" t="s">
        <v>52</v>
      </c>
      <c r="G218" s="30">
        <v>6</v>
      </c>
      <c r="H218" s="30" t="s">
        <v>477</v>
      </c>
      <c r="I218" s="32" t="s">
        <v>34</v>
      </c>
    </row>
    <row r="219" spans="1:9" x14ac:dyDescent="0.25">
      <c r="A219" s="28" t="s">
        <v>5</v>
      </c>
      <c r="B219" s="29">
        <v>46275</v>
      </c>
      <c r="C219" s="29">
        <v>46276</v>
      </c>
      <c r="D219" s="29">
        <v>46339</v>
      </c>
      <c r="E219" s="28" t="s">
        <v>478</v>
      </c>
      <c r="F219" s="28" t="s">
        <v>6</v>
      </c>
      <c r="G219" s="30">
        <v>35</v>
      </c>
      <c r="H219" s="30" t="s">
        <v>479</v>
      </c>
      <c r="I219" s="32" t="s">
        <v>34</v>
      </c>
    </row>
    <row r="220" spans="1:9" x14ac:dyDescent="0.25">
      <c r="A220" s="28" t="s">
        <v>55</v>
      </c>
      <c r="B220" s="29">
        <v>46276</v>
      </c>
      <c r="C220" s="29">
        <v>46279</v>
      </c>
      <c r="D220" s="29">
        <v>46377</v>
      </c>
      <c r="E220" s="28" t="s">
        <v>480</v>
      </c>
      <c r="F220" s="28" t="s">
        <v>52</v>
      </c>
      <c r="G220" s="30">
        <v>62</v>
      </c>
      <c r="H220" s="30" t="s">
        <v>481</v>
      </c>
      <c r="I220" s="32" t="s">
        <v>34</v>
      </c>
    </row>
    <row r="221" spans="1:9" x14ac:dyDescent="0.25">
      <c r="A221" s="28" t="s">
        <v>103</v>
      </c>
      <c r="B221" s="29">
        <v>46267</v>
      </c>
      <c r="C221" s="29">
        <v>46279</v>
      </c>
      <c r="D221" s="29">
        <v>46328</v>
      </c>
      <c r="E221" s="28" t="s">
        <v>482</v>
      </c>
      <c r="F221" s="28" t="s">
        <v>6</v>
      </c>
      <c r="G221" s="30">
        <v>94</v>
      </c>
      <c r="H221" s="30" t="s">
        <v>483</v>
      </c>
      <c r="I221" s="32" t="s">
        <v>43</v>
      </c>
    </row>
    <row r="222" spans="1:9" x14ac:dyDescent="0.25">
      <c r="A222" s="28" t="s">
        <v>103</v>
      </c>
      <c r="B222" s="29">
        <v>46267</v>
      </c>
      <c r="C222" s="29">
        <v>46279</v>
      </c>
      <c r="D222" s="29">
        <v>46328</v>
      </c>
      <c r="E222" s="28" t="s">
        <v>484</v>
      </c>
      <c r="F222" s="28" t="s">
        <v>6</v>
      </c>
      <c r="G222" s="30">
        <v>43</v>
      </c>
      <c r="H222" s="30" t="s">
        <v>485</v>
      </c>
      <c r="I222" s="32" t="s">
        <v>43</v>
      </c>
    </row>
    <row r="223" spans="1:9" x14ac:dyDescent="0.25">
      <c r="A223" s="33" t="s">
        <v>76</v>
      </c>
      <c r="B223" s="41">
        <v>46279</v>
      </c>
      <c r="C223" s="42">
        <v>46280</v>
      </c>
      <c r="D223" s="41">
        <v>46339</v>
      </c>
      <c r="E223" s="43" t="s">
        <v>486</v>
      </c>
      <c r="F223" s="43" t="s">
        <v>6</v>
      </c>
      <c r="G223" s="30">
        <v>63</v>
      </c>
      <c r="H223" s="43" t="s">
        <v>487</v>
      </c>
      <c r="I223" s="32" t="s">
        <v>34</v>
      </c>
    </row>
    <row r="224" spans="1:9" x14ac:dyDescent="0.25">
      <c r="A224" s="33" t="s">
        <v>55</v>
      </c>
      <c r="B224" s="41">
        <v>46279</v>
      </c>
      <c r="C224" s="42">
        <v>46280</v>
      </c>
      <c r="D224" s="41">
        <v>46339</v>
      </c>
      <c r="E224" s="43" t="s">
        <v>488</v>
      </c>
      <c r="F224" s="43" t="s">
        <v>6</v>
      </c>
      <c r="G224" s="44">
        <v>279</v>
      </c>
      <c r="H224" s="43" t="s">
        <v>489</v>
      </c>
      <c r="I224" s="32" t="s">
        <v>34</v>
      </c>
    </row>
    <row r="225" spans="1:9" x14ac:dyDescent="0.25">
      <c r="A225" s="33" t="s">
        <v>103</v>
      </c>
      <c r="B225" s="45">
        <v>46279</v>
      </c>
      <c r="C225" s="46">
        <v>46280</v>
      </c>
      <c r="D225" s="45">
        <v>46339</v>
      </c>
      <c r="E225" s="47" t="s">
        <v>488</v>
      </c>
      <c r="F225" s="47" t="s">
        <v>6</v>
      </c>
      <c r="G225" s="48">
        <v>99</v>
      </c>
      <c r="H225" s="47" t="s">
        <v>490</v>
      </c>
      <c r="I225" s="32" t="s">
        <v>34</v>
      </c>
    </row>
    <row r="226" spans="1:9" x14ac:dyDescent="0.25">
      <c r="A226" s="33" t="s">
        <v>79</v>
      </c>
      <c r="B226" s="41">
        <v>46267</v>
      </c>
      <c r="C226" s="42">
        <v>46280</v>
      </c>
      <c r="D226" s="41">
        <v>46328</v>
      </c>
      <c r="E226" s="43" t="s">
        <v>491</v>
      </c>
      <c r="F226" s="43" t="s">
        <v>6</v>
      </c>
      <c r="G226" s="44">
        <v>151</v>
      </c>
      <c r="H226" s="43" t="s">
        <v>153</v>
      </c>
      <c r="I226" s="32" t="s">
        <v>43</v>
      </c>
    </row>
    <row r="227" spans="1:9" x14ac:dyDescent="0.25">
      <c r="A227" s="33" t="s">
        <v>79</v>
      </c>
      <c r="B227" s="45">
        <v>46267</v>
      </c>
      <c r="C227" s="46">
        <v>46280</v>
      </c>
      <c r="D227" s="45">
        <v>46328</v>
      </c>
      <c r="E227" s="47" t="s">
        <v>492</v>
      </c>
      <c r="F227" s="47" t="s">
        <v>6</v>
      </c>
      <c r="G227" s="48">
        <v>102</v>
      </c>
      <c r="H227" s="47" t="s">
        <v>493</v>
      </c>
      <c r="I227" s="32" t="s">
        <v>43</v>
      </c>
    </row>
    <row r="228" spans="1:9" x14ac:dyDescent="0.25">
      <c r="A228" s="33" t="s">
        <v>323</v>
      </c>
      <c r="B228" s="41">
        <v>46280</v>
      </c>
      <c r="C228" s="42">
        <v>46280</v>
      </c>
      <c r="D228" s="41">
        <v>46330</v>
      </c>
      <c r="E228" s="43" t="s">
        <v>494</v>
      </c>
      <c r="F228" s="43" t="s">
        <v>52</v>
      </c>
      <c r="G228" s="44">
        <v>91</v>
      </c>
      <c r="H228" s="43" t="s">
        <v>495</v>
      </c>
      <c r="I228" s="32" t="s">
        <v>43</v>
      </c>
    </row>
    <row r="229" spans="1:9" x14ac:dyDescent="0.25">
      <c r="A229" s="33" t="s">
        <v>323</v>
      </c>
      <c r="B229" s="45">
        <v>46280</v>
      </c>
      <c r="C229" s="46">
        <v>46280</v>
      </c>
      <c r="D229" s="45">
        <v>46330</v>
      </c>
      <c r="E229" s="47" t="s">
        <v>496</v>
      </c>
      <c r="F229" s="47" t="s">
        <v>52</v>
      </c>
      <c r="G229" s="48">
        <v>19</v>
      </c>
      <c r="H229" s="47" t="s">
        <v>497</v>
      </c>
      <c r="I229" s="32" t="s">
        <v>43</v>
      </c>
    </row>
    <row r="230" spans="1:9" x14ac:dyDescent="0.25">
      <c r="A230" s="33" t="s">
        <v>135</v>
      </c>
      <c r="B230" s="41">
        <v>46279</v>
      </c>
      <c r="C230" s="42">
        <v>46280</v>
      </c>
      <c r="D230" s="41">
        <v>46341</v>
      </c>
      <c r="E230" s="43" t="s">
        <v>498</v>
      </c>
      <c r="F230" s="43" t="s">
        <v>52</v>
      </c>
      <c r="G230" s="44">
        <v>7</v>
      </c>
      <c r="H230" s="43" t="s">
        <v>137</v>
      </c>
      <c r="I230" s="32" t="s">
        <v>34</v>
      </c>
    </row>
    <row r="231" spans="1:9" x14ac:dyDescent="0.25">
      <c r="A231" s="33" t="s">
        <v>53</v>
      </c>
      <c r="B231" s="41">
        <v>46266</v>
      </c>
      <c r="C231" s="42">
        <v>46281</v>
      </c>
      <c r="D231" s="41">
        <v>46327</v>
      </c>
      <c r="E231" s="43" t="s">
        <v>499</v>
      </c>
      <c r="F231" s="43" t="s">
        <v>52</v>
      </c>
      <c r="G231" s="44">
        <v>35</v>
      </c>
      <c r="H231" s="43" t="s">
        <v>500</v>
      </c>
      <c r="I231" s="32" t="s">
        <v>45</v>
      </c>
    </row>
    <row r="232" spans="1:9" x14ac:dyDescent="0.25">
      <c r="A232" s="33" t="s">
        <v>53</v>
      </c>
      <c r="B232" s="45">
        <v>46266</v>
      </c>
      <c r="C232" s="46">
        <v>46281</v>
      </c>
      <c r="D232" s="45">
        <v>46327</v>
      </c>
      <c r="E232" s="47" t="s">
        <v>499</v>
      </c>
      <c r="F232" s="47" t="s">
        <v>52</v>
      </c>
      <c r="G232" s="48">
        <v>32</v>
      </c>
      <c r="H232" s="47" t="s">
        <v>501</v>
      </c>
      <c r="I232" s="32" t="s">
        <v>45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503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646D4B6-BDF5-412D-9E18-4F8C60CC4F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0E193B2-5068-43B7-ABC1-72CBE9DE0A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164DD-2934-449D-B327-2858E8EBEE4B}">
  <ds:schemaRefs>
    <ds:schemaRef ds:uri="http://schemas.microsoft.com/office/2006/documentManagement/types"/>
    <ds:schemaRef ds:uri="http://purl.org/dc/elements/1.1/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9ac7e9dd-8d2d-4750-b54a-f534515ac3a2"/>
    <ds:schemaRef ds:uri="82b749e3-8208-459a-bfc0-9b428d09cba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2026-09-17T17:56:42Z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