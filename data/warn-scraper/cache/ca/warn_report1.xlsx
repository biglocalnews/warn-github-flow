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4F8E3BBB-AF9D-4458-8634-226398412DF3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<sst xmlns="http://schemas.openxmlformats.org/spreadsheetml/2006/main" count="1831" uniqueCount="723">
  <si>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</si>
  <si>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</si>
  <si>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</si>
  <si>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</si>
  <si>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</si>
  <si>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</si>
  <si>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</si>
  <si>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</si>
  <si>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</si>
  <si>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</si>
  <si>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</si>
  <si>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</si>
  <si>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</si>
  <si>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</si>
  <si>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</si>
  <si>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</si>
  <si>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</si>
  <si>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</si>
  <si>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</si>
  <si>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</si>
  <si>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</si>
  <si>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</si>
  <si>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</si>
  <si>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</si>
  <si>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</si>
  <si>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</si>
  <si>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</si>
  <si>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</si>
  <si>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</si>
  <si>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</si>
  <si>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</si>
  <si>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</si>
  <si>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</si>
  <si>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</si>
  <si>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</si>
  <si>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</si>
  <si>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</si>
  <si>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</si>
  <si>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</si>
  <si>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</si>
  <si>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</si>
  <si>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</si>
  <si>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</si>
  <si>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</si>
  <si>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</si>
  <si>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</si>
  <si>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</si>
  <si>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</si>
  <si>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</si>
  <si>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</si>
  <si>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</si>
  <si>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</si>
  <si>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</si>
  <si>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</si>
  <si>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</si>
  <si>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</si>
  <si>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</si>
  <si>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</si>
  <si>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</si>
  <si>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</si>
  <si>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</si>
  <si>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</si>
  <si>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</si>
  <si>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</si>
  <si>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</si>
  <si>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</si>
  <si>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</si>
  <si>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</si>
  <si>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</si>
  <si>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</si>
  <si>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</si>
  <si>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</si>
  <si>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</si>
  <si>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</si>
  <si>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</si>
  <si>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</si>
  <si>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</si>
  <si>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</si>
  <si>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</si>
  <si>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</si>
  <si>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</si>
  <si>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</si>
  <si>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</si>
  <si>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</si>
  <si>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</si>
  <si>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</si>
  <si>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</si>
  <si>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</si>
  <si>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</si>
  <si>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</si>
  <si>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</si>
  <si>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</si>
  <si>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</si>
  <si>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</si>
  <si>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</si>
  <si>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</si>
  <si>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</si>
  <si>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</si>
  <si>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</si>
  <si>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</si>
  <si>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</si>
  <si>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</si>
  <si>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</si>
  <si>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</si>
  <si>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</si>
  <si>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</si>
  <si>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</si>
  <si>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</si>
  <si>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</si>
  <si>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</si>
  <si>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</si>
  <si>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</si>
  <si>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</si>
  <si>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</si>
  <si>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</si>
  <si>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</si>
  <si>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</si>
  <si>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</si>
  <si>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</si>
  <si>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</si>
  <si>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</si>
  <si>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</si>
  <si>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</si>
  <si>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</si>
  <si>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</si>
  <si>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</si>
  <si>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</si>
  <si>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</si>
  <si>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</si>
  <si>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</si>
  <si>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</si>
  <si>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</si>
  <si>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</si>
  <si>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</si>
  <si>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</si>
  <si>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</si>
  <si>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</si>
  <si>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</si>
  <si>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</si>
  <si>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</si>
  <si>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</si>
  <si>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</si>
  <si>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</si>
  <si>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</si>
  <si>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</si>
  <si>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</si>
  <si>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</si>
  <si>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</si>
  <si>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</si>
  <si>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</si>
  <si>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</si>
  <si>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</si>
  <si>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</si>
  <si>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</si>
  <si>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</si>
  <si>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</si>
  <si>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</si>
  <si>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</si>
  <si>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</si>
  <si>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</si>
  <si>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</si>
  <si>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</si>
  <si>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</si>
  <si>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</si>
  <si>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</si>
  <si>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</si>
  <si>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</si>
  <si>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</si>
  <si>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</si>
  <si>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</si>
  <si>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</si>
  <si>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</si>
  <si>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</si>
  <si>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</si>
  <si>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</si>
  <si>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</si>
  <si>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</si>
  <si>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</si>
  <si>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</si>
  <si>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</si>
  <si>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</si>
  <si>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</si>
  <si>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</si>
  <si>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</si>
  <si>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</si>
  <si>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</si>
  <si>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</si>
  <si>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</si>
  <si>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</si>
  <si>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</si>
  <si>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</si>
  <si>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</si>
  <si>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</si>
  <si>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</si>
  <si>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</si>
  <si>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</si>
  <si>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</si>
  <si>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</si>
  <si>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</si>
  <si>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</si>
  <si>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</si>
  <si>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</si>
  <si>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</si>
  <si>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</si>
  <si>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</si>
  <si>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</si>
  <si>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</si>
  <si>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</si>
  <si>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</si>
  <si>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</si>
  <si>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</si>
  <si>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</si>
  <si>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</si>
  <si>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</si>
  <si>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</si>
  <si>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</si>
  <si>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</si>
  <si>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</si>
  <si>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</si>
  <si>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</si>
  <si>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</si>
  <si>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</si>
  <si>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</si>
  <si>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</si>
  <si>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</si>
  <si>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</si>
  <si>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</si>
  <si>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</si>
  <si>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</si>
  <si>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</si>
  <si>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</si>
  <si>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</si>
  <si>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</si>
  <si>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</si>
  <si>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</si>
  <si>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</si>
  <si>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</si>
  <si>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</si>
  <si>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</si>
  <si>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</si>
  <si>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</si>
  <si>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</si>
  <si>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</si>
  <si>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</si>
  <si>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</si>
  <si>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</si>
  <si>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</si>
  <si>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</si>
  <si>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</si>
  <si>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</si>
  <si>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</si>
  <si>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</si>
  <si>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</si>
  <si>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</si>
  <si>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</si>
  <si>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</si>
  <si>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</si>
  <si>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</si>
  <si>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</si>
  <si>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</si>
  <si>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</si>
  <si>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</si>
  <si>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</si>
  <si>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</si>
  <si>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</si>
  <si>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</si>
  <si>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</si>
  <si>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</si>
  <si>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</si>
  <si>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</si>
  <si>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</si>
  <si>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</si>
  <si>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</si>
  <si>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</si>
  <si>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</si>
  <si>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</si>
  <si>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</si>
  <si>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</si>
  <si>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</si>
  <si>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</si>
  <si>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</si>
  <si>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</si>
  <si>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</si>
  <si>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</si>
  <si>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</si>
  <si>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</si>
  <si>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</si>
  <si>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</si>
  <si>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</si>
  <si>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</si>
  <si>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</si>
  <si>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</si>
  <si>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</si>
  <si>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</si>
  <si>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</si>
  <si>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</si>
  <si>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</si>
  <si>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</si>
  <si>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</si>
  <si>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</si>
  <si>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</si>
  <si>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</si>
  <si>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</si>
  <si>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</si>
  <si>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</si>
  <si>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</si>
  <si>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</si>
  <si>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</si>
  <si>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</si>
  <si>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</si>
  <si>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</si>
  <si>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</si>
  <si>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</si>
  <si>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</si>
  <si>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</si>
  <si>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</si>
  <si>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</si>
  <si>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</si>
  <si>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</si>
  <si>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</si>
  <si>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</si>
  <si>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</si>
  <si>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</si>
  <si>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</si>
  <si>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</si>
  <si>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</si>
  <si>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</si>
  <si>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</si>
  <si>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</si>
  <si>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</si>
  <si>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</si>
  <si>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</si>
  <si>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</si>
  <si>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</si>
  <si>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</si>
  <si>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</si>
  <si>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</si>
  <si>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</si>
  <si>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</si>
  <si>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</si>
  <si>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</si>
  <si>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</si>
  <si>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</si>
  <si>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</si>
  <si>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</si>
  <si>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</si>
  <si>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</si>
  <si>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</si>
  <si>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</si>
  <si>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</si>
  <si>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</si>
  <si>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</si>
  <si>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</si>
  <si>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</si>
  <si>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</si>
  <si>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</si>
  <si>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</si>
  <si>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</si>
  <si>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</si>
  <si>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</si>
  <si>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</si>
  <si>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</si>
  <si>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</si>
  <si>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</si>
  <si>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</si>
  <si>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</si>
  <si>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</si>
  <si>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</si>
  <si>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</si>
  <si>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</si>
  <si>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</si>
  <si>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</si>
  <si>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</si>
  <si>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</si>
  <si>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</si>
  <si>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</si>
  <si>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</si>
  <si>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</si>
  <si>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</si>
  <si>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</si>
  <si>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</si>
  <si>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</si>
  <si>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</si>
  <si>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</si>
  <si>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</si>
  <si>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</si>
  <si>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</si>
  <si>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</si>
  <si>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</si>
  <si>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</si>
  <si>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</si>
  <si>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</si>
  <si>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</si>
  <si>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</si>
  <si>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</si>
  <si>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</si>
  <si>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</si>
  <si>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</si>
  <si>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</si>
  <si>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</si>
  <si>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</si>
  <si>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</si>
  <si>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</si>
  <si>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</si>
  <si>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</si>
  <si>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</si>
  <si>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</si>
  <si>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</si>
  <si>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</si>
  <si>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</si>
  <si>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</si>
  <si>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</si>
  <si>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</si>
  <si>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</si>
  <si>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</si>
  <si>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</si>
  <si>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</si>
  <si>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</si>
  <si>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</si>
  <si>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</si>
  <si>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</si>
  <si>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</si>
  <si>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</si>
  <si>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</si>
  <si>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</si>
  <si>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</si>
  <si>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</si>
  <si>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</si>
  <si>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</si>
  <si>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</si>
  <si>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</si>
  <si>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</si>
  <si>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</si>
  <si>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</si>
  <si>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</si>
  <si>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</si>
  <si>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</si>
  <si>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</si>
  <si>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</si>
  <si>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</si>
  <si>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</si>
  <si>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</si>
  <si>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</si>
  <si>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</si>
  <si>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</si>
  <si>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</si>
  <si>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</si>
  <si>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</si>
  <si>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</si>
  <si>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</si>
  <si>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</si>
  <si>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</si>
  <si>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</si>
  <si>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</si>
  <si>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</si>
  <si>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</si>
  <si>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</si>
  <si>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</si>
  <si>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</si>
  <si>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</si>
  <si>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</si>
  <si>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</si>
  <si>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</si>
  <si>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</si>
  <si>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</si>
  <si>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</si>
  <si>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</si>
  <si>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</si>
  <si>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</si>
  <si>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</si>
  <si>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</si>
  <si>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</si>
  <si>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</si>
  <si>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</si>
  <si>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</si>
  <si>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</si>
  <si>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</si>
  <si>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</si>
  <si>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</si>
  <si>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</si>
  <si>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</si>
  <si>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</si>
  <si>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</si>
  <si>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</si>
  <si>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</si>
  <si>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</si>
  <si>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t>Oracle Pleasanton Campus (Pleasanton Campus)</t>
  </si>
  <si>
    <t>5815 Owens Drive  Pleasanton CA 94588</t>
  </si>
  <si>
    <t>Oracle America, Inc.</t>
  </si>
  <si>
    <t>500 Oracle Parkway  Redwood City CA 94065</t>
  </si>
  <si>
    <t>4230 Leonard Stocking Drive  Santa Clara CA 95054</t>
  </si>
  <si>
    <t>Uber Technologies, Inc. - 1655 3rd Street</t>
  </si>
  <si>
    <t>Uber Technologies, Inc. 1725 3rd Street</t>
  </si>
  <si>
    <t>1725 3rd Street  San Francisco CA 94158</t>
  </si>
  <si>
    <t>Full Steam Staffing (2121 Boeing Way)</t>
  </si>
  <si>
    <t>2121 Boeing Way  Stockton CA 95206</t>
  </si>
  <si>
    <t>Full Steam Staffing (4239 Pock Lane)</t>
  </si>
  <si>
    <t>4239 Pock Lane  Stockton CA 95206</t>
  </si>
  <si>
    <t>DesigneRx Pharmaceuticals, Inc.</t>
  </si>
  <si>
    <t>Pathways Community Services dba Clarvida</t>
  </si>
  <si>
    <t>1360 S. Anaheim Blvd. Suite 101  Anaheim CA 92805</t>
  </si>
  <si>
    <t>1401 N Tustin Ave #225  Santa Ana CA 92706</t>
  </si>
  <si>
    <t>Fresno County</t>
  </si>
  <si>
    <t>Maya Cinemas Fresno 16</t>
  </si>
  <si>
    <t>3090 E. Campus Pointe Dr.  Fresno CA 93710</t>
  </si>
  <si>
    <t>Levine Management Group, Inc. - 822 SRobertson</t>
  </si>
  <si>
    <t>Layoff Not known at this time</t>
  </si>
  <si>
    <t>822 S Robertson Blvd. Ste 200  Los Angeles CA 90035</t>
  </si>
  <si>
    <t>Levine Management Groups, Inc. - Candlewood</t>
  </si>
  <si>
    <t>4051 Candlewood St.  Lakewood CA 90712</t>
  </si>
  <si>
    <t>Levine Management Groups, Inc. - San Dimas</t>
  </si>
  <si>
    <t>2400 San Dimas Canyon Rd.  La Verne CA 91750</t>
  </si>
  <si>
    <t>Levine Management Groups, Inc. - Ratner St.</t>
  </si>
  <si>
    <t>10986 W. Ratner St.  Sun Valley CA 91352</t>
  </si>
  <si>
    <t>Levine Management Groups, Inc. 95th Street</t>
  </si>
  <si>
    <t>1351 W. 95th Street  Los Angeles CA 90044</t>
  </si>
  <si>
    <t>Levine Management Groups, Inc. - Towne Avenue</t>
  </si>
  <si>
    <t>425 Towne Avenue  Los Angeles CA 90013</t>
  </si>
  <si>
    <t>Levine management Groups, Inc. - Normandie Ave</t>
  </si>
  <si>
    <t>6525 Normandie Ave.  Los Angeles CA 90044</t>
  </si>
  <si>
    <t>Levine Management Group, Inc. - Rural Dr.</t>
  </si>
  <si>
    <t>234 N. Rural Dr.  Monterey Park CA 91755</t>
  </si>
  <si>
    <t>Levine Management Group, Inc. - James M. Wood Blvd</t>
  </si>
  <si>
    <t>2300 James M. Wood Blvd.  Los Angeles CA 90006</t>
  </si>
  <si>
    <t>Levine Management Group, Inc. - Gale Ave.</t>
  </si>
  <si>
    <t>15554 Gale Ave.  Hacienda Heights CA 91745</t>
  </si>
  <si>
    <t>Levine Management Groups, Inc. - Potrero Grande</t>
  </si>
  <si>
    <t>1301 Potrero Grande Dr.  Rosemead CA 91770</t>
  </si>
  <si>
    <t>Levine Management Groups, Inc. - Mesa St.</t>
  </si>
  <si>
    <t>805 S. Mesa St.  San Pedro CA 90731</t>
  </si>
  <si>
    <t>Levine Management Groups, Inc. - 900-906 Crenshaw Blvd</t>
  </si>
  <si>
    <t>900-906 Crenshaw Blvd.  Los Angeles CA 90019</t>
  </si>
  <si>
    <t>Levine Management Groups. Inc. - Kingsley Dr.</t>
  </si>
  <si>
    <t>540-542 Kingsley Dr.  Los Angeles CA 90020</t>
  </si>
  <si>
    <t>Levine Management Groups, Inc. - Beachwood Dr.</t>
  </si>
  <si>
    <t>2100 N. Beachwood Dr.  Los Angeles CA 90068</t>
  </si>
  <si>
    <t>Levine Management Groups, Inc. - Manhattan Pl</t>
  </si>
  <si>
    <t>1257 S. Manhattan Pl.  Los Angeles CA 90019</t>
  </si>
  <si>
    <t>Levine Management Groups, Inc. - Valley Blvd.</t>
  </si>
  <si>
    <t>2775 E. Valley Blvd.  West Covina CA 91792</t>
  </si>
  <si>
    <t>Levine Management Groups, Inc. - 1053 S. New Hampshire Ave.-</t>
  </si>
  <si>
    <t>1053 S. New Hampshire Ave.  Los Angeles CA 90006</t>
  </si>
  <si>
    <t>Levine Management Groups, Inc. - 1057 S, New Hampshire Ave</t>
  </si>
  <si>
    <t>1057 New Hampshire Ave.  Los Angeles CA 90006</t>
  </si>
  <si>
    <t>Levine Management Groups, Inc. - 980 Palm Ave.</t>
  </si>
  <si>
    <t>980 Palm Ave.  West Hollywood CA 90069</t>
  </si>
  <si>
    <t>Levine Management Groups, Inc. - Arrow Highway</t>
  </si>
  <si>
    <t>837 E. Arrow Highway  Pomona CA 91767</t>
  </si>
  <si>
    <t>Levine Management Groups, Inc. - Glendale Blvd</t>
  </si>
  <si>
    <t>153 Glendale Blvd.  Los Angeles CA 90026</t>
  </si>
  <si>
    <t>Leveine Management Groups - 415 S. Oleander Ave.</t>
  </si>
  <si>
    <t>415 S. Oleander Ave,  Compton CA 90220</t>
  </si>
  <si>
    <t>Levine Management Groups, Inc. - 425 S. Oleander Ave.</t>
  </si>
  <si>
    <t>425 S. Oleander Ave.  Compton CA 90220</t>
  </si>
  <si>
    <t>Levine Management Groups, Inc. - Canada Blvd.</t>
  </si>
  <si>
    <t>2615 Canada Blvd.  Glendale CA 91208</t>
  </si>
  <si>
    <t>Levine Management Groups, Inc. - Sunset Pl.</t>
  </si>
  <si>
    <t>2848 Sunset Pl.  Los Angeles CA 90005</t>
  </si>
  <si>
    <t>Levine Management Groups, Inc. - Cypress Road</t>
  </si>
  <si>
    <t>5493 Cypress Road  Oxnard CA 93033</t>
  </si>
  <si>
    <t>Levine Management Groups, Inc. - Ponderosa Dr.</t>
  </si>
  <si>
    <t>2105 E. Ponderosa Dr.  Camarillo CA 93010</t>
  </si>
  <si>
    <t>Levine Management Groups, Inc. - Carmelita Ct.</t>
  </si>
  <si>
    <t>201 Carmelita Ct.  Oxnard CA 93030</t>
  </si>
  <si>
    <t>Amy's Kitchen, LLC</t>
  </si>
  <si>
    <t>2330 Northpoint Parkway  Santa Rosa CA 95407</t>
  </si>
  <si>
    <t>Safeway, Inc. - Stoneridge Mall Road</t>
  </si>
  <si>
    <t>5918 Stoneridge Mall Road  Pleasanton CA 94588</t>
  </si>
  <si>
    <t>Safeway, Inc. - Dublin Canyon Road</t>
  </si>
  <si>
    <t>11555 Dublin Canyon Road  Pleasanton CA 94588</t>
  </si>
  <si>
    <t>2200 Mission College Boulevard  Santa Clara CA 95054</t>
  </si>
  <si>
    <t>Intel Corporation, Inc. - SC-9</t>
  </si>
  <si>
    <t>Intel Corporation - SC-11</t>
  </si>
  <si>
    <t>IPS Nationwide, Inc.</t>
  </si>
  <si>
    <t>39899 Balentine Dr., Unit 200, Suite #228  Newark CA 94560</t>
  </si>
  <si>
    <t>3186 Airway Ave., Suite F  Costa Mesa CA 92626</t>
  </si>
  <si>
    <t>Kaiser (1800 Harrison St.)</t>
  </si>
  <si>
    <t>1800 Harrison St.  Oakland CA 94612</t>
  </si>
  <si>
    <t>Kaiser (One Kaiser Plaza)</t>
  </si>
  <si>
    <t>One Kaiser Plaza  Oakland CA 94612</t>
  </si>
  <si>
    <t>Kaiser</t>
  </si>
  <si>
    <t>4460 Hacienda Dr.  Pleasanton CA 94588</t>
  </si>
  <si>
    <t>3000 S. Robertson Blvd.  Los Angeles CA 90034</t>
  </si>
  <si>
    <t>Kaiser (393 E. Walnut St.)</t>
  </si>
  <si>
    <t>393 E. Walnut St.  Pasadena CA 91188</t>
  </si>
  <si>
    <t>Kaiser (74 N. Pasadena Ave.)</t>
  </si>
  <si>
    <t>74 N. Pasadena Ave.  Pasadena CA 91103</t>
  </si>
  <si>
    <t>Kaiser (75N. Fair Oaks Ave.)</t>
  </si>
  <si>
    <t>75 N. Fair Oaks Ave.  Pasadena CA 91103</t>
  </si>
  <si>
    <t>Kaiser (99 S. Oakland Ave.)</t>
  </si>
  <si>
    <t>99 S. Oakland Ave.  Pasadena CA 91101</t>
  </si>
  <si>
    <t>17836 Gillette Ave.  Irvine CA 92614</t>
  </si>
  <si>
    <t>Kaiser (1830 California Ave.)</t>
  </si>
  <si>
    <t>1830 California Ave.  Corona CA 92881</t>
  </si>
  <si>
    <t>Kaiser (1840 California Ave.)</t>
  </si>
  <si>
    <t>1840 California Ave.  Corona CA 92881</t>
  </si>
  <si>
    <t>50 Iron Point Cir.  Folsom CA 95630</t>
  </si>
  <si>
    <t>3240 Arden Wy.  Sacramento CA 95825</t>
  </si>
  <si>
    <t>Kaiser (17140 Bernardo Center Dr.)</t>
  </si>
  <si>
    <t>17140 Bernardo Center Dr.  San Diego CA 92128</t>
  </si>
  <si>
    <t>Kaiser (3840 Murphy Canyon Rd.)</t>
  </si>
  <si>
    <t>3840 Murphy Canyon Rd.  San Diego CA 92123</t>
  </si>
  <si>
    <t>Kaiser (8954 Rio San Diego Dr.)</t>
  </si>
  <si>
    <t>8954 Rio San Diego Dr.  San Diego CA 92108</t>
  </si>
  <si>
    <t>2000 E El Segundo Blvd  El Segundo CA 90245</t>
  </si>
  <si>
    <t>Capstone Delivery Inc.</t>
  </si>
  <si>
    <t>9350 Rayo Avenue  South Gate CA 90280</t>
  </si>
  <si>
    <t>Quixote Studio Services - North Valley Campus A</t>
  </si>
  <si>
    <t>12137 Montague St.  Pacoima CA 91331</t>
  </si>
  <si>
    <t>Quixote Studio Services - North Valley</t>
  </si>
  <si>
    <t>10252 Norris Ave.  Pacoima CA 91331</t>
  </si>
  <si>
    <t>Quixote Studio Services - Sylmar South</t>
  </si>
  <si>
    <t>13334 Ralston Avenue  Sylmar CA 91342</t>
  </si>
  <si>
    <t>Quixote Studio Services - Sylmar North</t>
  </si>
  <si>
    <t>14002 Balboa  Sylmar CA 91342</t>
  </si>
  <si>
    <t>Key Energy Services, LLC - Bakersfield Location</t>
  </si>
  <si>
    <t>18835 Highway 65  Bakersfield CA 93308</t>
  </si>
  <si>
    <t>Dreyer's Grand Ice Cream</t>
  </si>
  <si>
    <t>7301 District Boulevard  Bakersfield CA 93313</t>
  </si>
  <si>
    <t>Key Energy Services, LLC - Ventura Location</t>
  </si>
  <si>
    <t>2951 N. Ventura Avenue  Ventura CA 93002</t>
  </si>
  <si>
    <t>City of Hope</t>
  </si>
  <si>
    <t>4900 Rivergrade Road  Irwindale CA 91706</t>
  </si>
  <si>
    <t>SAC Health (1003 East Brier Drive)</t>
  </si>
  <si>
    <t>1003 East Brier Drive  San Bernardino CA 92408</t>
  </si>
  <si>
    <t>SAC Health (250 South G St.)</t>
  </si>
  <si>
    <t>250 South G St.  San Bernardino CA 92410</t>
  </si>
  <si>
    <t>970 E. Continental Ave.  Tulare CA 93274</t>
  </si>
  <si>
    <t>City National Bank - Flower Street</t>
  </si>
  <si>
    <t>555 S. Flower St.  Los Angeles CA 90071</t>
  </si>
  <si>
    <t>City National Bank - Grand Ave.</t>
  </si>
  <si>
    <t>350 S. Grand Ave.  Los Angeles CA 90071</t>
  </si>
  <si>
    <t>Covenant Aviation Security, LLC</t>
  </si>
  <si>
    <t>Highway 101  San Francisco CA 94128</t>
  </si>
  <si>
    <t>Marin County</t>
  </si>
  <si>
    <t>BioMarin Pharmaceutical Inc.</t>
  </si>
  <si>
    <t>105 Digital Drive  Novato CA 94949</t>
  </si>
  <si>
    <t>Randstad Inhouse Services, LLC (Dreyer's)</t>
  </si>
  <si>
    <t>Workday Inc.</t>
  </si>
  <si>
    <t>6110 Stoneridge Mall Road  Pleasanton CA 94588</t>
  </si>
  <si>
    <t>Constellis, LLC (1060 N Eastern Ave.)</t>
  </si>
  <si>
    <t>1060 N Eastern Ave.  Los Angeles CA 90063</t>
  </si>
  <si>
    <t>Constellis, LLC (1104 N. Eastern Ave.)</t>
  </si>
  <si>
    <t>1104 N. Eastern Ave.  Los Angeles CA 90063</t>
  </si>
  <si>
    <t>Constellis, LLC (11515 S. Colima Rd.)</t>
  </si>
  <si>
    <t>11515 S. Colima Rd.  Whittier CA 90604</t>
  </si>
  <si>
    <t>Constellis, LLC (11700 S. Alameda St.)</t>
  </si>
  <si>
    <t>11700 S. Alameda St.  Lynwood CA 90262</t>
  </si>
  <si>
    <t>Constellis, LLC (11703 S. Alameda St.)</t>
  </si>
  <si>
    <t>11703 S. Alameda St.  Lynwood CA 90262</t>
  </si>
  <si>
    <t>Constellis, LLC (11703 W. Alameda St.)</t>
  </si>
  <si>
    <t>11703 W. Alameda St.  Lynwood CA 90262</t>
  </si>
  <si>
    <t>Constellis, LLC (12335 Civic Center Dr.)</t>
  </si>
  <si>
    <t>12335 Civic Center Dr.  Norwalk CA 90650</t>
  </si>
  <si>
    <t>Constellis, LLC (1310 W Imperial Hwy)</t>
  </si>
  <si>
    <t>1310 W Imperial Hwy  Los Angeles CA 90044</t>
  </si>
  <si>
    <t>Constellis, LLC (13483 Fiji Way)</t>
  </si>
  <si>
    <t>13483 Fiji Way  Marina Del Rey CA 90242</t>
  </si>
  <si>
    <t>Constellis, LLC (1445 McKinley Ave.)</t>
  </si>
  <si>
    <t>1445 McKinley Ave.  Pomona CA 91767</t>
  </si>
  <si>
    <t>Constellis, LLC (150 N Hudson Ave.)</t>
  </si>
  <si>
    <t>150 N Hudson Ave.  Industry CA 91774</t>
  </si>
  <si>
    <t>Constellis, LLC (21356 S. Avalon Blvd.)</t>
  </si>
  <si>
    <t>21356 S. Avalon Blvd.  Carson CA 90745</t>
  </si>
  <si>
    <t>Constellis, LLC (21695 Valley Blvd.)</t>
  </si>
  <si>
    <t>21695 Valley Blvd.  Walnut CA 91789</t>
  </si>
  <si>
    <t>Constellis, LLC (26123 S. Narbonne Ave.)</t>
  </si>
  <si>
    <t>26123 S. Narbonne Ave.  Lomita CA 90717</t>
  </si>
  <si>
    <t>Constellis, LLC (26201 Golden Valley Rd.)</t>
  </si>
  <si>
    <t>26201 Golden Valley Rd.  Santa Clarita CA 91350</t>
  </si>
  <si>
    <t>Constellis, LLC (270 S. Walnut Ave.)</t>
  </si>
  <si>
    <t>270 S. Walnut Ave.  San Dimas CA 91773</t>
  </si>
  <si>
    <t>Constellis, LLC (270 W. Walnut Ave.)</t>
  </si>
  <si>
    <t>270 W. Walnut Ave.  San Dimas CA 91773</t>
  </si>
  <si>
    <t>Constellis, LLC (27050 Agoura Rd.)</t>
  </si>
  <si>
    <t>27050 Agoura Rd.  Agoura CA 91301</t>
  </si>
  <si>
    <t>Constellis, LLC (29380 The Old Road)</t>
  </si>
  <si>
    <t>29380 The Old Road  Castaic CA 91310</t>
  </si>
  <si>
    <t>Constellis, LLC (441 Bauchet St.)</t>
  </si>
  <si>
    <t>441 Bauchet St.  Los Angeles CA 90012</t>
  </si>
  <si>
    <t>Constellis, LLC (4554 N. Briggs Ave.)</t>
  </si>
  <si>
    <t>4554 N. Briggs Ave.  La Crescenta CA 91214</t>
  </si>
  <si>
    <t>Constellis, LLC (501 W. Lancaster Blvd.)</t>
  </si>
  <si>
    <t>501 W. Lancaster Blvd.  Lancaster CA 93534</t>
  </si>
  <si>
    <t>Constellis, LLC (5019 E 3rd St.)</t>
  </si>
  <si>
    <t>5019 E 3rd St.  Los Angeles CA 90022</t>
  </si>
  <si>
    <t>Constellis, LLC (5130 N. Clark Ave.)</t>
  </si>
  <si>
    <t>5130 N. Clark Ave.  Lakewood CA 90712</t>
  </si>
  <si>
    <t>Constellis, LLC (6631 S Passons Ave.)</t>
  </si>
  <si>
    <t>6631 S Passons Ave.  Pico Riva CA 90660</t>
  </si>
  <si>
    <t>Constellis, LLC (750 E Ave Q)</t>
  </si>
  <si>
    <t>750 E Ave Q  Palmdale CA 93550</t>
  </si>
  <si>
    <t>Constellis, LLC (780 N. San Vicenta Blvd.)</t>
  </si>
  <si>
    <t>780 N. San Vicenta Blvd.  W. Hollywood CA 90069</t>
  </si>
  <si>
    <t>Constellis, LLC (8838 E. Las Tunas Dr.)</t>
  </si>
  <si>
    <t>8838 E. Las Tunas Dr.  Temple City CA 90069</t>
  </si>
  <si>
    <t>970 E Continental Ave  Tulare CA 93274</t>
  </si>
  <si>
    <t>DLVR (A Corp)</t>
  </si>
  <si>
    <t>5750 Mesmer Avenue  Culver City CA 90230</t>
  </si>
  <si>
    <t>McKinley Paper and Packaging Company</t>
  </si>
  <si>
    <t>13012 Midway Place  Cerritos CA 90703</t>
  </si>
  <si>
    <t>Becton, Dickinson and Company (BD)</t>
  </si>
  <si>
    <t>3750 Torrey View Court  San Diego CA 92130</t>
  </si>
  <si>
    <t>TruFusion West Hollywood LLC</t>
  </si>
  <si>
    <t>904 North La Brea Avenue  Los Angeles CA 90038</t>
  </si>
  <si>
    <t>Monroe Operations, LLC, dba Newport Healthcare - Pimlico</t>
  </si>
  <si>
    <t>10813 Pimlico Dr.  Moorpark CA 93021</t>
  </si>
  <si>
    <t>Monroe Operations, LLC, dba Newport Healthcare - Alhambra</t>
  </si>
  <si>
    <t>2565 Alhambra Court  Santa Rosa Valley CA 93012</t>
  </si>
  <si>
    <t>Monroe Operations, LLC, dba Newport Healthcare - Presilla</t>
  </si>
  <si>
    <t>11530 Presilla Rd.  Santa Rosa Valley CA 93012</t>
  </si>
  <si>
    <t>Monroe Operations, LLC, dba Newport Healthcare - Read</t>
  </si>
  <si>
    <t>4914 Read Rd.  Moorpark CA 93021</t>
  </si>
  <si>
    <t>Monroe Operations, LLC, dba Newport Healthcare - Valley Vista</t>
  </si>
  <si>
    <t>683 Valley Vista Dr.  Camarillo CA 93010</t>
  </si>
  <si>
    <t>Kaiser Foundation Hospitals and Kaiser Foundation Health Plan, Inc.</t>
  </si>
  <si>
    <t>Kaiser Foundation Hospitals and Kaiser Foundation Health Plan, Inc. (74 N. Pasadena Ave.)</t>
  </si>
  <si>
    <t>Kaiser Foundation Hospitals and Kaiser Foundation Health Plan, Inc. (393 E. Walnut St.)</t>
  </si>
  <si>
    <t>AMF Bowling Centers, Inc. Castle Park</t>
  </si>
  <si>
    <t>3500 Polk Street  Riverside CA 92505</t>
  </si>
  <si>
    <r>
      <t xml:space="preserve">WARN REPORT - </t>
    </r>
    <r>
      <rPr>
        <b/>
        <sz val="12"/>
        <rFont val="Calibri"/>
        <family val="2"/>
        <scheme val="minor"/>
      </rPr>
      <t>07/01/26 to 10/06/2026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I354.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</si>
  <si>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01/01/2023 - 10/06/2026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</si>
  <si>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Relocation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</si>
</sst>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166" fontId="14" fillId="3" borderId="8" xfId="0" applyNumberFormat="1" applyFont="1" applyFill="1" applyBorder="1" applyAlignment="1">
      <alignment horizontal="left" vertical="top" wrapText="1" readingOrder="1"/>
    </xf>
    <xf numFmtId="0" fontId="14" fillId="3" borderId="8" xfId="0" applyFont="1" applyFill="1" applyBorder="1" applyAlignment="1">
      <alignment vertical="top" wrapText="1" readingOrder="1"/>
    </xf>
    <xf numFmtId="164" fontId="14" fillId="3" borderId="8" xfId="0" applyNumberFormat="1" applyFont="1" applyFill="1" applyBorder="1" applyAlignment="1">
      <alignment horizontal="right"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166" fontId="14" fillId="4" borderId="8" xfId="0" applyNumberFormat="1" applyFont="1" applyFill="1" applyBorder="1" applyAlignment="1">
      <alignment horizontal="left"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164" fontId="14" fillId="4" borderId="8" xfId="0" applyNumberFormat="1" applyFont="1" applyFill="1" applyBorder="1" applyAlignment="1">
      <alignment horizontal="right" vertical="top" wrapText="1" readingOrder="1"/>
    </xf>
    <xf numFmtId="0" fontId="14" fillId="3" borderId="2" xfId="0" applyFont="1" applyFill="1" applyBorder="1" applyAlignment="1">
      <alignment vertical="top" wrapText="1" readingOrder="1"/>
    </xf>
    <xf numFmtId="164" fontId="14" fillId="3" borderId="2" xfId="0" applyNumberFormat="1" applyFont="1" applyFill="1" applyBorder="1" applyAlignment="1">
      <alignment horizontal="right" vertical="top" wrapText="1" readingOrder="1"/>
    </xf>
    <xf numFmtId="0" fontId="14" fillId="3" borderId="6" xfId="0" applyFont="1" applyFill="1" applyBorder="1" applyAlignment="1">
      <alignment vertical="top" wrapText="1" readingOrder="1"/>
    </xf>
    <xf numFmtId="0" fontId="14" fillId="4" borderId="2" xfId="0" applyFont="1" applyFill="1" applyBorder="1" applyAlignment="1">
      <alignment vertical="top" wrapText="1" readingOrder="1"/>
    </xf>
    <xf numFmtId="0" fontId="14" fillId="4" borderId="6" xfId="0" applyFont="1" applyFill="1" applyBorder="1" applyAlignment="1">
      <alignment vertical="top" wrapText="1" readingOrder="1"/>
    </xf>
    <xf numFmtId="164" fontId="14" fillId="4" borderId="2" xfId="0" applyNumberFormat="1" applyFont="1" applyFill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354" totalsRowShown="0" headerRowDxfId="31" dataDxfId="30">
  <autoFilter ref="A2:I354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16885</v>
      </c>
    </row>
    <row r="4" spans="1:2" x14ac:dyDescent="0.25">
      <c r="A4" s="2" t="s">
        <v>9</v>
      </c>
      <c r="B4" s="11">
        <f>COUNTIF('Detailed WARN Report '!F:F,"Layoff Permanent")</f>
        <v>236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31</v>
      </c>
    </row>
    <row r="7" spans="1:2" x14ac:dyDescent="0.25">
      <c r="A7" s="2" t="s">
        <v>12</v>
      </c>
      <c r="B7" s="11">
        <f>COUNTIF('Detailed WARN Report '!F:F,"Closure Permanent")</f>
        <v>68</v>
      </c>
    </row>
    <row r="8" spans="1:2" x14ac:dyDescent="0.25">
      <c r="A8" s="2" t="s">
        <v>13</v>
      </c>
      <c r="B8" s="11">
        <f>COUNTIF('Detailed WARN Report '!F:F,"Closure Temporary")</f>
        <v>10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354"/>
  <sheetViews>
    <sheetView zoomScaleNormal="100" workbookViewId="0"/>
  </sheetViews>
  <sheetFormatPr defaultColWidth="150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7.28515625" style="10" bestFit="1" customWidth="1"/>
    <col min="6" max="6" width="21.57031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</cols>
  <sheetData>
    <row r="1" spans="1:9" ht="108.75" customHeight="1" x14ac:dyDescent="0.25">
      <c r="A1" s="16" t="s">
        <v>720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722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2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2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2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2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2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2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2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2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2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2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2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2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2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2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2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2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2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2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2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2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2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2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2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2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2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478</v>
      </c>
      <c r="F219" s="28" t="s">
        <v>6</v>
      </c>
      <c r="G219" s="30">
        <v>35</v>
      </c>
      <c r="H219" s="30" t="s">
        <v>479</v>
      </c>
      <c r="I219" s="32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480</v>
      </c>
      <c r="F220" s="28" t="s">
        <v>52</v>
      </c>
      <c r="G220" s="30">
        <v>62</v>
      </c>
      <c r="H220" s="30" t="s">
        <v>481</v>
      </c>
      <c r="I220" s="32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482</v>
      </c>
      <c r="F221" s="28" t="s">
        <v>6</v>
      </c>
      <c r="G221" s="30">
        <v>94</v>
      </c>
      <c r="H221" s="30" t="s">
        <v>483</v>
      </c>
      <c r="I221" s="32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484</v>
      </c>
      <c r="F222" s="28" t="s">
        <v>6</v>
      </c>
      <c r="G222" s="30">
        <v>43</v>
      </c>
      <c r="H222" s="30" t="s">
        <v>485</v>
      </c>
      <c r="I222" s="32" t="s">
        <v>43</v>
      </c>
    </row>
    <row r="223" spans="1:9" x14ac:dyDescent="0.25">
      <c r="A223" s="33" t="s">
        <v>76</v>
      </c>
      <c r="B223" s="41">
        <v>46279</v>
      </c>
      <c r="C223" s="42">
        <v>46280</v>
      </c>
      <c r="D223" s="41">
        <v>46339</v>
      </c>
      <c r="E223" s="43" t="s">
        <v>486</v>
      </c>
      <c r="F223" s="43" t="s">
        <v>6</v>
      </c>
      <c r="G223" s="30">
        <v>63</v>
      </c>
      <c r="H223" s="43" t="s">
        <v>487</v>
      </c>
      <c r="I223" s="32" t="s">
        <v>34</v>
      </c>
    </row>
    <row r="224" spans="1:9" x14ac:dyDescent="0.25">
      <c r="A224" s="33" t="s">
        <v>55</v>
      </c>
      <c r="B224" s="41">
        <v>46279</v>
      </c>
      <c r="C224" s="42">
        <v>46280</v>
      </c>
      <c r="D224" s="41">
        <v>46339</v>
      </c>
      <c r="E224" s="43" t="s">
        <v>488</v>
      </c>
      <c r="F224" s="43" t="s">
        <v>6</v>
      </c>
      <c r="G224" s="44">
        <v>279</v>
      </c>
      <c r="H224" s="43" t="s">
        <v>489</v>
      </c>
      <c r="I224" s="32" t="s">
        <v>34</v>
      </c>
    </row>
    <row r="225" spans="1:9" x14ac:dyDescent="0.25">
      <c r="A225" s="33" t="s">
        <v>103</v>
      </c>
      <c r="B225" s="45">
        <v>46279</v>
      </c>
      <c r="C225" s="46">
        <v>46280</v>
      </c>
      <c r="D225" s="45">
        <v>46339</v>
      </c>
      <c r="E225" s="47" t="s">
        <v>488</v>
      </c>
      <c r="F225" s="47" t="s">
        <v>6</v>
      </c>
      <c r="G225" s="48">
        <v>99</v>
      </c>
      <c r="H225" s="47" t="s">
        <v>490</v>
      </c>
      <c r="I225" s="32" t="s">
        <v>34</v>
      </c>
    </row>
    <row r="226" spans="1:9" x14ac:dyDescent="0.25">
      <c r="A226" s="33" t="s">
        <v>79</v>
      </c>
      <c r="B226" s="41">
        <v>46267</v>
      </c>
      <c r="C226" s="42">
        <v>46280</v>
      </c>
      <c r="D226" s="41">
        <v>46328</v>
      </c>
      <c r="E226" s="43" t="s">
        <v>491</v>
      </c>
      <c r="F226" s="43" t="s">
        <v>6</v>
      </c>
      <c r="G226" s="44">
        <v>151</v>
      </c>
      <c r="H226" s="43" t="s">
        <v>153</v>
      </c>
      <c r="I226" s="32" t="s">
        <v>43</v>
      </c>
    </row>
    <row r="227" spans="1:9" x14ac:dyDescent="0.25">
      <c r="A227" s="33" t="s">
        <v>79</v>
      </c>
      <c r="B227" s="45">
        <v>46267</v>
      </c>
      <c r="C227" s="46">
        <v>46280</v>
      </c>
      <c r="D227" s="45">
        <v>46328</v>
      </c>
      <c r="E227" s="47" t="s">
        <v>492</v>
      </c>
      <c r="F227" s="47" t="s">
        <v>6</v>
      </c>
      <c r="G227" s="48">
        <v>102</v>
      </c>
      <c r="H227" s="47" t="s">
        <v>493</v>
      </c>
      <c r="I227" s="32" t="s">
        <v>43</v>
      </c>
    </row>
    <row r="228" spans="1:9" x14ac:dyDescent="0.25">
      <c r="A228" s="33" t="s">
        <v>323</v>
      </c>
      <c r="B228" s="41">
        <v>46280</v>
      </c>
      <c r="C228" s="42">
        <v>46280</v>
      </c>
      <c r="D228" s="41">
        <v>46330</v>
      </c>
      <c r="E228" s="43" t="s">
        <v>494</v>
      </c>
      <c r="F228" s="43" t="s">
        <v>52</v>
      </c>
      <c r="G228" s="44">
        <v>91</v>
      </c>
      <c r="H228" s="43" t="s">
        <v>495</v>
      </c>
      <c r="I228" s="32" t="s">
        <v>43</v>
      </c>
    </row>
    <row r="229" spans="1:9" x14ac:dyDescent="0.25">
      <c r="A229" s="33" t="s">
        <v>323</v>
      </c>
      <c r="B229" s="45">
        <v>46280</v>
      </c>
      <c r="C229" s="46">
        <v>46280</v>
      </c>
      <c r="D229" s="45">
        <v>46330</v>
      </c>
      <c r="E229" s="47" t="s">
        <v>496</v>
      </c>
      <c r="F229" s="47" t="s">
        <v>52</v>
      </c>
      <c r="G229" s="48">
        <v>19</v>
      </c>
      <c r="H229" s="47" t="s">
        <v>497</v>
      </c>
      <c r="I229" s="32" t="s">
        <v>43</v>
      </c>
    </row>
    <row r="230" spans="1:9" x14ac:dyDescent="0.25">
      <c r="A230" s="33" t="s">
        <v>135</v>
      </c>
      <c r="B230" s="41">
        <v>46279</v>
      </c>
      <c r="C230" s="42">
        <v>46280</v>
      </c>
      <c r="D230" s="41">
        <v>46341</v>
      </c>
      <c r="E230" s="43" t="s">
        <v>498</v>
      </c>
      <c r="F230" s="43" t="s">
        <v>52</v>
      </c>
      <c r="G230" s="44">
        <v>7</v>
      </c>
      <c r="H230" s="43" t="s">
        <v>137</v>
      </c>
      <c r="I230" s="32" t="s">
        <v>34</v>
      </c>
    </row>
    <row r="231" spans="1:9" x14ac:dyDescent="0.25">
      <c r="A231" s="33" t="s">
        <v>53</v>
      </c>
      <c r="B231" s="41">
        <v>46266</v>
      </c>
      <c r="C231" s="42">
        <v>46281</v>
      </c>
      <c r="D231" s="41">
        <v>46327</v>
      </c>
      <c r="E231" s="43" t="s">
        <v>499</v>
      </c>
      <c r="F231" s="43" t="s">
        <v>52</v>
      </c>
      <c r="G231" s="44">
        <v>35</v>
      </c>
      <c r="H231" s="43" t="s">
        <v>500</v>
      </c>
      <c r="I231" s="32" t="s">
        <v>45</v>
      </c>
    </row>
    <row r="232" spans="1:9" x14ac:dyDescent="0.25">
      <c r="A232" s="33" t="s">
        <v>53</v>
      </c>
      <c r="B232" s="45">
        <v>46266</v>
      </c>
      <c r="C232" s="46">
        <v>46281</v>
      </c>
      <c r="D232" s="45">
        <v>46327</v>
      </c>
      <c r="E232" s="47" t="s">
        <v>499</v>
      </c>
      <c r="F232" s="47" t="s">
        <v>52</v>
      </c>
      <c r="G232" s="48">
        <v>32</v>
      </c>
      <c r="H232" s="47" t="s">
        <v>501</v>
      </c>
      <c r="I232" s="32" t="s">
        <v>45</v>
      </c>
    </row>
    <row r="233" spans="1:9" x14ac:dyDescent="0.25">
      <c r="A233" s="28" t="s">
        <v>502</v>
      </c>
      <c r="B233" s="29">
        <v>46281</v>
      </c>
      <c r="C233" s="29">
        <v>46282</v>
      </c>
      <c r="D233" s="29">
        <v>46280</v>
      </c>
      <c r="E233" s="28" t="s">
        <v>503</v>
      </c>
      <c r="F233" s="28" t="s">
        <v>52</v>
      </c>
      <c r="G233" s="30">
        <v>86</v>
      </c>
      <c r="H233" s="30" t="s">
        <v>504</v>
      </c>
      <c r="I233" s="32" t="s">
        <v>38</v>
      </c>
    </row>
    <row r="234" spans="1:9" x14ac:dyDescent="0.25">
      <c r="A234" s="28" t="s">
        <v>5</v>
      </c>
      <c r="B234" s="29">
        <v>46252</v>
      </c>
      <c r="C234" s="29">
        <v>46282</v>
      </c>
      <c r="D234" s="29">
        <v>46315</v>
      </c>
      <c r="E234" s="28" t="s">
        <v>505</v>
      </c>
      <c r="F234" s="28" t="s">
        <v>506</v>
      </c>
      <c r="G234" s="30">
        <v>17</v>
      </c>
      <c r="H234" s="30" t="s">
        <v>507</v>
      </c>
      <c r="I234" s="32" t="s">
        <v>40</v>
      </c>
    </row>
    <row r="235" spans="1:9" x14ac:dyDescent="0.25">
      <c r="A235" s="28" t="s">
        <v>5</v>
      </c>
      <c r="B235" s="29">
        <v>46252</v>
      </c>
      <c r="C235" s="29">
        <v>46282</v>
      </c>
      <c r="D235" s="29">
        <v>46315</v>
      </c>
      <c r="E235" s="28" t="s">
        <v>508</v>
      </c>
      <c r="F235" s="28" t="s">
        <v>506</v>
      </c>
      <c r="G235" s="30">
        <v>2</v>
      </c>
      <c r="H235" s="30" t="s">
        <v>509</v>
      </c>
      <c r="I235" s="32" t="s">
        <v>40</v>
      </c>
    </row>
    <row r="236" spans="1:9" x14ac:dyDescent="0.25">
      <c r="A236" s="28" t="s">
        <v>5</v>
      </c>
      <c r="B236" s="29">
        <v>46252</v>
      </c>
      <c r="C236" s="29">
        <v>46282</v>
      </c>
      <c r="D236" s="29">
        <v>46315</v>
      </c>
      <c r="E236" s="28" t="s">
        <v>510</v>
      </c>
      <c r="F236" s="28" t="s">
        <v>506</v>
      </c>
      <c r="G236" s="30">
        <v>3</v>
      </c>
      <c r="H236" s="30" t="s">
        <v>511</v>
      </c>
      <c r="I236" s="32" t="s">
        <v>40</v>
      </c>
    </row>
    <row r="237" spans="1:9" x14ac:dyDescent="0.25">
      <c r="A237" s="28" t="s">
        <v>5</v>
      </c>
      <c r="B237" s="29">
        <v>46252</v>
      </c>
      <c r="C237" s="29">
        <v>46282</v>
      </c>
      <c r="D237" s="29">
        <v>46315</v>
      </c>
      <c r="E237" s="28" t="s">
        <v>512</v>
      </c>
      <c r="F237" s="28" t="s">
        <v>506</v>
      </c>
      <c r="G237" s="30">
        <v>1</v>
      </c>
      <c r="H237" s="30" t="s">
        <v>513</v>
      </c>
      <c r="I237" s="32" t="s">
        <v>40</v>
      </c>
    </row>
    <row r="238" spans="1:9" x14ac:dyDescent="0.25">
      <c r="A238" s="28" t="s">
        <v>5</v>
      </c>
      <c r="B238" s="29">
        <v>46252</v>
      </c>
      <c r="C238" s="29">
        <v>46282</v>
      </c>
      <c r="D238" s="29">
        <v>46315</v>
      </c>
      <c r="E238" s="28" t="s">
        <v>514</v>
      </c>
      <c r="F238" s="28" t="s">
        <v>506</v>
      </c>
      <c r="G238" s="30">
        <v>2</v>
      </c>
      <c r="H238" s="30" t="s">
        <v>515</v>
      </c>
      <c r="I238" s="32" t="s">
        <v>40</v>
      </c>
    </row>
    <row r="239" spans="1:9" x14ac:dyDescent="0.25">
      <c r="A239" s="28" t="s">
        <v>5</v>
      </c>
      <c r="B239" s="29">
        <v>46252</v>
      </c>
      <c r="C239" s="29">
        <v>46282</v>
      </c>
      <c r="D239" s="29">
        <v>46315</v>
      </c>
      <c r="E239" s="28" t="s">
        <v>516</v>
      </c>
      <c r="F239" s="28" t="s">
        <v>506</v>
      </c>
      <c r="G239" s="30">
        <v>4</v>
      </c>
      <c r="H239" s="30" t="s">
        <v>517</v>
      </c>
      <c r="I239" s="32" t="s">
        <v>40</v>
      </c>
    </row>
    <row r="240" spans="1:9" x14ac:dyDescent="0.25">
      <c r="A240" s="28" t="s">
        <v>5</v>
      </c>
      <c r="B240" s="29">
        <v>46252</v>
      </c>
      <c r="C240" s="29">
        <v>46282</v>
      </c>
      <c r="D240" s="29">
        <v>46315</v>
      </c>
      <c r="E240" s="28" t="s">
        <v>518</v>
      </c>
      <c r="F240" s="28" t="s">
        <v>506</v>
      </c>
      <c r="G240" s="30">
        <v>2</v>
      </c>
      <c r="H240" s="30" t="s">
        <v>519</v>
      </c>
      <c r="I240" s="32" t="s">
        <v>40</v>
      </c>
    </row>
    <row r="241" spans="1:9" x14ac:dyDescent="0.25">
      <c r="A241" s="28" t="s">
        <v>5</v>
      </c>
      <c r="B241" s="29">
        <v>46252</v>
      </c>
      <c r="C241" s="29">
        <v>46282</v>
      </c>
      <c r="D241" s="29">
        <v>46315</v>
      </c>
      <c r="E241" s="28" t="s">
        <v>520</v>
      </c>
      <c r="F241" s="28" t="s">
        <v>506</v>
      </c>
      <c r="G241" s="30">
        <v>4</v>
      </c>
      <c r="H241" s="30" t="s">
        <v>521</v>
      </c>
      <c r="I241" s="32" t="s">
        <v>40</v>
      </c>
    </row>
    <row r="242" spans="1:9" x14ac:dyDescent="0.25">
      <c r="A242" s="28" t="s">
        <v>5</v>
      </c>
      <c r="B242" s="29">
        <v>46252</v>
      </c>
      <c r="C242" s="29">
        <v>46282</v>
      </c>
      <c r="D242" s="29">
        <v>46315</v>
      </c>
      <c r="E242" s="28" t="s">
        <v>522</v>
      </c>
      <c r="F242" s="28" t="s">
        <v>506</v>
      </c>
      <c r="G242" s="30">
        <v>2</v>
      </c>
      <c r="H242" s="30" t="s">
        <v>523</v>
      </c>
      <c r="I242" s="32" t="s">
        <v>40</v>
      </c>
    </row>
    <row r="243" spans="1:9" x14ac:dyDescent="0.25">
      <c r="A243" s="28" t="s">
        <v>5</v>
      </c>
      <c r="B243" s="29">
        <v>46252</v>
      </c>
      <c r="C243" s="29">
        <v>46282</v>
      </c>
      <c r="D243" s="29">
        <v>46315</v>
      </c>
      <c r="E243" s="28" t="s">
        <v>524</v>
      </c>
      <c r="F243" s="28" t="s">
        <v>506</v>
      </c>
      <c r="G243" s="30">
        <v>2</v>
      </c>
      <c r="H243" s="30" t="s">
        <v>525</v>
      </c>
      <c r="I243" s="32" t="s">
        <v>40</v>
      </c>
    </row>
    <row r="244" spans="1:9" x14ac:dyDescent="0.25">
      <c r="A244" s="28" t="s">
        <v>5</v>
      </c>
      <c r="B244" s="29">
        <v>46252</v>
      </c>
      <c r="C244" s="29">
        <v>46282</v>
      </c>
      <c r="D244" s="29">
        <v>46315</v>
      </c>
      <c r="E244" s="28" t="s">
        <v>526</v>
      </c>
      <c r="F244" s="28" t="s">
        <v>506</v>
      </c>
      <c r="G244" s="30">
        <v>1</v>
      </c>
      <c r="H244" s="30" t="s">
        <v>527</v>
      </c>
      <c r="I244" s="32" t="s">
        <v>40</v>
      </c>
    </row>
    <row r="245" spans="1:9" x14ac:dyDescent="0.25">
      <c r="A245" s="28" t="s">
        <v>5</v>
      </c>
      <c r="B245" s="29">
        <v>46252</v>
      </c>
      <c r="C245" s="29">
        <v>46282</v>
      </c>
      <c r="D245" s="29">
        <v>46315</v>
      </c>
      <c r="E245" s="28" t="s">
        <v>528</v>
      </c>
      <c r="F245" s="28" t="s">
        <v>506</v>
      </c>
      <c r="G245" s="30">
        <v>2</v>
      </c>
      <c r="H245" s="30" t="s">
        <v>529</v>
      </c>
      <c r="I245" s="32" t="s">
        <v>40</v>
      </c>
    </row>
    <row r="246" spans="1:9" x14ac:dyDescent="0.25">
      <c r="A246" s="28" t="s">
        <v>5</v>
      </c>
      <c r="B246" s="29">
        <v>46252</v>
      </c>
      <c r="C246" s="29">
        <v>46282</v>
      </c>
      <c r="D246" s="29">
        <v>46315</v>
      </c>
      <c r="E246" s="28" t="s">
        <v>530</v>
      </c>
      <c r="F246" s="28" t="s">
        <v>506</v>
      </c>
      <c r="G246" s="30">
        <v>1</v>
      </c>
      <c r="H246" s="30" t="s">
        <v>531</v>
      </c>
      <c r="I246" s="32" t="s">
        <v>40</v>
      </c>
    </row>
    <row r="247" spans="1:9" x14ac:dyDescent="0.25">
      <c r="A247" s="28" t="s">
        <v>5</v>
      </c>
      <c r="B247" s="29">
        <v>46252</v>
      </c>
      <c r="C247" s="29">
        <v>46282</v>
      </c>
      <c r="D247" s="29">
        <v>46315</v>
      </c>
      <c r="E247" s="28" t="s">
        <v>532</v>
      </c>
      <c r="F247" s="28" t="s">
        <v>506</v>
      </c>
      <c r="G247" s="30">
        <v>1</v>
      </c>
      <c r="H247" s="30" t="s">
        <v>533</v>
      </c>
      <c r="I247" s="32" t="s">
        <v>40</v>
      </c>
    </row>
    <row r="248" spans="1:9" x14ac:dyDescent="0.25">
      <c r="A248" s="28" t="s">
        <v>5</v>
      </c>
      <c r="B248" s="29">
        <v>46252</v>
      </c>
      <c r="C248" s="29">
        <v>46282</v>
      </c>
      <c r="D248" s="29">
        <v>46315</v>
      </c>
      <c r="E248" s="28" t="s">
        <v>534</v>
      </c>
      <c r="F248" s="28" t="s">
        <v>506</v>
      </c>
      <c r="G248" s="30">
        <v>1</v>
      </c>
      <c r="H248" s="30" t="s">
        <v>535</v>
      </c>
      <c r="I248" s="32" t="s">
        <v>40</v>
      </c>
    </row>
    <row r="249" spans="1:9" x14ac:dyDescent="0.25">
      <c r="A249" s="28" t="s">
        <v>5</v>
      </c>
      <c r="B249" s="29">
        <v>46252</v>
      </c>
      <c r="C249" s="29">
        <v>46282</v>
      </c>
      <c r="D249" s="29">
        <v>46315</v>
      </c>
      <c r="E249" s="28" t="s">
        <v>536</v>
      </c>
      <c r="F249" s="28" t="s">
        <v>506</v>
      </c>
      <c r="G249" s="30">
        <v>1</v>
      </c>
      <c r="H249" s="30" t="s">
        <v>537</v>
      </c>
      <c r="I249" s="32" t="s">
        <v>40</v>
      </c>
    </row>
    <row r="250" spans="1:9" x14ac:dyDescent="0.25">
      <c r="A250" s="28" t="s">
        <v>5</v>
      </c>
      <c r="B250" s="29">
        <v>46252</v>
      </c>
      <c r="C250" s="29">
        <v>46282</v>
      </c>
      <c r="D250" s="29">
        <v>46315</v>
      </c>
      <c r="E250" s="28" t="s">
        <v>538</v>
      </c>
      <c r="F250" s="28" t="s">
        <v>506</v>
      </c>
      <c r="G250" s="30">
        <v>4</v>
      </c>
      <c r="H250" s="30" t="s">
        <v>539</v>
      </c>
      <c r="I250" s="32" t="s">
        <v>40</v>
      </c>
    </row>
    <row r="251" spans="1:9" x14ac:dyDescent="0.25">
      <c r="A251" s="28" t="s">
        <v>5</v>
      </c>
      <c r="B251" s="29">
        <v>46252</v>
      </c>
      <c r="C251" s="29">
        <v>46282</v>
      </c>
      <c r="D251" s="29">
        <v>46315</v>
      </c>
      <c r="E251" s="28" t="s">
        <v>540</v>
      </c>
      <c r="F251" s="28" t="s">
        <v>506</v>
      </c>
      <c r="G251" s="30">
        <v>1</v>
      </c>
      <c r="H251" s="30" t="s">
        <v>541</v>
      </c>
      <c r="I251" s="32" t="s">
        <v>40</v>
      </c>
    </row>
    <row r="252" spans="1:9" x14ac:dyDescent="0.25">
      <c r="A252" s="28" t="s">
        <v>5</v>
      </c>
      <c r="B252" s="29">
        <v>46252</v>
      </c>
      <c r="C252" s="29">
        <v>46282</v>
      </c>
      <c r="D252" s="29">
        <v>46315</v>
      </c>
      <c r="E252" s="28" t="s">
        <v>542</v>
      </c>
      <c r="F252" s="28" t="s">
        <v>506</v>
      </c>
      <c r="G252" s="30">
        <v>1</v>
      </c>
      <c r="H252" s="30" t="s">
        <v>543</v>
      </c>
      <c r="I252" s="32" t="s">
        <v>40</v>
      </c>
    </row>
    <row r="253" spans="1:9" x14ac:dyDescent="0.25">
      <c r="A253" s="28" t="s">
        <v>5</v>
      </c>
      <c r="B253" s="29">
        <v>46252</v>
      </c>
      <c r="C253" s="29">
        <v>46282</v>
      </c>
      <c r="D253" s="29">
        <v>46315</v>
      </c>
      <c r="E253" s="28" t="s">
        <v>544</v>
      </c>
      <c r="F253" s="28" t="s">
        <v>506</v>
      </c>
      <c r="G253" s="30">
        <v>2</v>
      </c>
      <c r="H253" s="30" t="s">
        <v>545</v>
      </c>
      <c r="I253" s="32" t="s">
        <v>40</v>
      </c>
    </row>
    <row r="254" spans="1:9" x14ac:dyDescent="0.25">
      <c r="A254" s="28" t="s">
        <v>5</v>
      </c>
      <c r="B254" s="29">
        <v>46252</v>
      </c>
      <c r="C254" s="29">
        <v>46282</v>
      </c>
      <c r="D254" s="29">
        <v>46315</v>
      </c>
      <c r="E254" s="28" t="s">
        <v>546</v>
      </c>
      <c r="F254" s="28" t="s">
        <v>506</v>
      </c>
      <c r="G254" s="30">
        <v>1</v>
      </c>
      <c r="H254" s="30" t="s">
        <v>547</v>
      </c>
      <c r="I254" s="32" t="s">
        <v>40</v>
      </c>
    </row>
    <row r="255" spans="1:9" x14ac:dyDescent="0.25">
      <c r="A255" s="28" t="s">
        <v>5</v>
      </c>
      <c r="B255" s="29">
        <v>46252</v>
      </c>
      <c r="C255" s="29">
        <v>46282</v>
      </c>
      <c r="D255" s="29">
        <v>46315</v>
      </c>
      <c r="E255" s="28" t="s">
        <v>548</v>
      </c>
      <c r="F255" s="28" t="s">
        <v>506</v>
      </c>
      <c r="G255" s="30">
        <v>1</v>
      </c>
      <c r="H255" s="30" t="s">
        <v>549</v>
      </c>
      <c r="I255" s="32" t="s">
        <v>40</v>
      </c>
    </row>
    <row r="256" spans="1:9" x14ac:dyDescent="0.25">
      <c r="A256" s="28" t="s">
        <v>5</v>
      </c>
      <c r="B256" s="29">
        <v>46252</v>
      </c>
      <c r="C256" s="29">
        <v>46282</v>
      </c>
      <c r="D256" s="29">
        <v>46315</v>
      </c>
      <c r="E256" s="28" t="s">
        <v>550</v>
      </c>
      <c r="F256" s="28" t="s">
        <v>506</v>
      </c>
      <c r="G256" s="30">
        <v>1</v>
      </c>
      <c r="H256" s="30" t="s">
        <v>551</v>
      </c>
      <c r="I256" s="32" t="s">
        <v>40</v>
      </c>
    </row>
    <row r="257" spans="1:9" x14ac:dyDescent="0.25">
      <c r="A257" s="28" t="s">
        <v>5</v>
      </c>
      <c r="B257" s="29">
        <v>46252</v>
      </c>
      <c r="C257" s="29">
        <v>46282</v>
      </c>
      <c r="D257" s="29">
        <v>46315</v>
      </c>
      <c r="E257" s="28" t="s">
        <v>552</v>
      </c>
      <c r="F257" s="28" t="s">
        <v>506</v>
      </c>
      <c r="G257" s="30">
        <v>3</v>
      </c>
      <c r="H257" s="30" t="s">
        <v>553</v>
      </c>
      <c r="I257" s="32" t="s">
        <v>40</v>
      </c>
    </row>
    <row r="258" spans="1:9" x14ac:dyDescent="0.25">
      <c r="A258" s="28" t="s">
        <v>5</v>
      </c>
      <c r="B258" s="29">
        <v>46252</v>
      </c>
      <c r="C258" s="29">
        <v>46282</v>
      </c>
      <c r="D258" s="29">
        <v>46315</v>
      </c>
      <c r="E258" s="28" t="s">
        <v>554</v>
      </c>
      <c r="F258" s="28" t="s">
        <v>506</v>
      </c>
      <c r="G258" s="30">
        <v>1</v>
      </c>
      <c r="H258" s="30" t="s">
        <v>555</v>
      </c>
      <c r="I258" s="32" t="s">
        <v>40</v>
      </c>
    </row>
    <row r="259" spans="1:9" x14ac:dyDescent="0.25">
      <c r="A259" s="28" t="s">
        <v>5</v>
      </c>
      <c r="B259" s="29">
        <v>46252</v>
      </c>
      <c r="C259" s="29">
        <v>46282</v>
      </c>
      <c r="D259" s="29">
        <v>46315</v>
      </c>
      <c r="E259" s="28" t="s">
        <v>556</v>
      </c>
      <c r="F259" s="28" t="s">
        <v>506</v>
      </c>
      <c r="G259" s="30">
        <v>2</v>
      </c>
      <c r="H259" s="30" t="s">
        <v>557</v>
      </c>
      <c r="I259" s="32" t="s">
        <v>40</v>
      </c>
    </row>
    <row r="260" spans="1:9" x14ac:dyDescent="0.25">
      <c r="A260" s="28" t="s">
        <v>326</v>
      </c>
      <c r="B260" s="29">
        <v>46252</v>
      </c>
      <c r="C260" s="29">
        <v>46282</v>
      </c>
      <c r="D260" s="29">
        <v>46315</v>
      </c>
      <c r="E260" s="28" t="s">
        <v>558</v>
      </c>
      <c r="F260" s="28" t="s">
        <v>506</v>
      </c>
      <c r="G260" s="30">
        <v>2</v>
      </c>
      <c r="H260" s="30" t="s">
        <v>559</v>
      </c>
      <c r="I260" s="32" t="s">
        <v>40</v>
      </c>
    </row>
    <row r="261" spans="1:9" x14ac:dyDescent="0.25">
      <c r="A261" s="28" t="s">
        <v>326</v>
      </c>
      <c r="B261" s="29">
        <v>46252</v>
      </c>
      <c r="C261" s="29">
        <v>46282</v>
      </c>
      <c r="D261" s="29">
        <v>46315</v>
      </c>
      <c r="E261" s="28" t="s">
        <v>560</v>
      </c>
      <c r="F261" s="28" t="s">
        <v>506</v>
      </c>
      <c r="G261" s="30">
        <v>2</v>
      </c>
      <c r="H261" s="30" t="s">
        <v>561</v>
      </c>
      <c r="I261" s="32" t="s">
        <v>40</v>
      </c>
    </row>
    <row r="262" spans="1:9" x14ac:dyDescent="0.25">
      <c r="A262" s="28" t="s">
        <v>326</v>
      </c>
      <c r="B262" s="29">
        <v>46252</v>
      </c>
      <c r="C262" s="29">
        <v>46282</v>
      </c>
      <c r="D262" s="29">
        <v>46315</v>
      </c>
      <c r="E262" s="28" t="s">
        <v>562</v>
      </c>
      <c r="F262" s="28" t="s">
        <v>506</v>
      </c>
      <c r="G262" s="30">
        <v>1</v>
      </c>
      <c r="H262" s="30" t="s">
        <v>563</v>
      </c>
      <c r="I262" s="32" t="s">
        <v>40</v>
      </c>
    </row>
    <row r="263" spans="1:9" x14ac:dyDescent="0.25">
      <c r="A263" s="28" t="s">
        <v>138</v>
      </c>
      <c r="B263" s="29">
        <v>46282</v>
      </c>
      <c r="C263" s="29">
        <v>46282</v>
      </c>
      <c r="D263" s="29">
        <v>46374</v>
      </c>
      <c r="E263" s="28" t="s">
        <v>564</v>
      </c>
      <c r="F263" s="28" t="s">
        <v>52</v>
      </c>
      <c r="G263" s="30">
        <v>200</v>
      </c>
      <c r="H263" s="30" t="s">
        <v>565</v>
      </c>
      <c r="I263" s="32" t="s">
        <v>34</v>
      </c>
    </row>
    <row r="264" spans="1:9" x14ac:dyDescent="0.25">
      <c r="A264" s="28" t="s">
        <v>76</v>
      </c>
      <c r="B264" s="29">
        <v>46282</v>
      </c>
      <c r="C264" s="29">
        <v>46283</v>
      </c>
      <c r="D264" s="29">
        <v>46346</v>
      </c>
      <c r="E264" s="28" t="s">
        <v>566</v>
      </c>
      <c r="F264" s="28" t="s">
        <v>6</v>
      </c>
      <c r="G264" s="30">
        <v>4</v>
      </c>
      <c r="H264" s="30" t="s">
        <v>567</v>
      </c>
      <c r="I264" s="32" t="s">
        <v>36</v>
      </c>
    </row>
    <row r="265" spans="1:9" x14ac:dyDescent="0.25">
      <c r="A265" s="28" t="s">
        <v>76</v>
      </c>
      <c r="B265" s="29">
        <v>46282</v>
      </c>
      <c r="C265" s="29">
        <v>46283</v>
      </c>
      <c r="D265" s="29">
        <v>46346</v>
      </c>
      <c r="E265" s="28" t="s">
        <v>568</v>
      </c>
      <c r="F265" s="28" t="s">
        <v>6</v>
      </c>
      <c r="G265" s="30">
        <v>46</v>
      </c>
      <c r="H265" s="30" t="s">
        <v>569</v>
      </c>
      <c r="I265" s="32" t="s">
        <v>36</v>
      </c>
    </row>
    <row r="266" spans="1:9" x14ac:dyDescent="0.25">
      <c r="A266" s="28" t="s">
        <v>103</v>
      </c>
      <c r="B266" s="29">
        <v>46283</v>
      </c>
      <c r="C266" s="29">
        <v>46283</v>
      </c>
      <c r="D266" s="29">
        <v>46295</v>
      </c>
      <c r="E266" s="28" t="s">
        <v>163</v>
      </c>
      <c r="F266" s="28" t="s">
        <v>6</v>
      </c>
      <c r="G266" s="30">
        <v>22</v>
      </c>
      <c r="H266" s="30" t="s">
        <v>570</v>
      </c>
      <c r="I266" s="32" t="s">
        <v>34</v>
      </c>
    </row>
    <row r="267" spans="1:9" x14ac:dyDescent="0.25">
      <c r="A267" s="28" t="s">
        <v>103</v>
      </c>
      <c r="B267" s="29">
        <v>46283</v>
      </c>
      <c r="C267" s="29">
        <v>46283</v>
      </c>
      <c r="D267" s="29">
        <v>46295</v>
      </c>
      <c r="E267" s="28" t="s">
        <v>571</v>
      </c>
      <c r="F267" s="28" t="s">
        <v>6</v>
      </c>
      <c r="G267" s="30">
        <v>5</v>
      </c>
      <c r="H267" s="30" t="s">
        <v>166</v>
      </c>
      <c r="I267" s="32" t="s">
        <v>34</v>
      </c>
    </row>
    <row r="268" spans="1:9" x14ac:dyDescent="0.25">
      <c r="A268" s="28" t="s">
        <v>103</v>
      </c>
      <c r="B268" s="29">
        <v>46283</v>
      </c>
      <c r="C268" s="29">
        <v>46283</v>
      </c>
      <c r="D268" s="29">
        <v>46295</v>
      </c>
      <c r="E268" s="28" t="s">
        <v>572</v>
      </c>
      <c r="F268" s="28" t="s">
        <v>6</v>
      </c>
      <c r="G268" s="30">
        <v>1</v>
      </c>
      <c r="H268" s="30" t="s">
        <v>168</v>
      </c>
      <c r="I268" s="32" t="s">
        <v>34</v>
      </c>
    </row>
    <row r="269" spans="1:9" x14ac:dyDescent="0.25">
      <c r="A269" s="28" t="s">
        <v>103</v>
      </c>
      <c r="B269" s="29">
        <v>46283</v>
      </c>
      <c r="C269" s="29">
        <v>46283</v>
      </c>
      <c r="D269" s="29">
        <v>46295</v>
      </c>
      <c r="E269" s="28" t="s">
        <v>169</v>
      </c>
      <c r="F269" s="28" t="s">
        <v>6</v>
      </c>
      <c r="G269" s="30">
        <v>24</v>
      </c>
      <c r="H269" s="30" t="s">
        <v>170</v>
      </c>
      <c r="I269" s="32" t="s">
        <v>34</v>
      </c>
    </row>
    <row r="270" spans="1:9" x14ac:dyDescent="0.25">
      <c r="A270" s="28" t="s">
        <v>76</v>
      </c>
      <c r="B270" s="29">
        <v>46283</v>
      </c>
      <c r="C270" s="29">
        <v>46283</v>
      </c>
      <c r="D270" s="29">
        <v>46343</v>
      </c>
      <c r="E270" s="28" t="s">
        <v>573</v>
      </c>
      <c r="F270" s="28" t="s">
        <v>6</v>
      </c>
      <c r="G270" s="30">
        <v>212</v>
      </c>
      <c r="H270" s="30" t="s">
        <v>574</v>
      </c>
      <c r="I270" s="32" t="s">
        <v>43</v>
      </c>
    </row>
    <row r="271" spans="1:9" x14ac:dyDescent="0.25">
      <c r="A271" s="28" t="s">
        <v>53</v>
      </c>
      <c r="B271" s="29">
        <v>46283</v>
      </c>
      <c r="C271" s="29">
        <v>46283</v>
      </c>
      <c r="D271" s="29">
        <v>46343</v>
      </c>
      <c r="E271" s="28" t="s">
        <v>573</v>
      </c>
      <c r="F271" s="28" t="s">
        <v>6</v>
      </c>
      <c r="G271" s="30">
        <v>50</v>
      </c>
      <c r="H271" s="30" t="s">
        <v>575</v>
      </c>
      <c r="I271" s="32" t="s">
        <v>43</v>
      </c>
    </row>
    <row r="272" spans="1:9" x14ac:dyDescent="0.25">
      <c r="A272" s="28" t="s">
        <v>76</v>
      </c>
      <c r="B272" s="29">
        <v>46286</v>
      </c>
      <c r="C272" s="29">
        <v>46287</v>
      </c>
      <c r="D272" s="29">
        <v>46346</v>
      </c>
      <c r="E272" s="28" t="s">
        <v>576</v>
      </c>
      <c r="F272" s="28" t="s">
        <v>6</v>
      </c>
      <c r="G272" s="30">
        <v>1</v>
      </c>
      <c r="H272" s="30" t="s">
        <v>577</v>
      </c>
      <c r="I272" s="32" t="s">
        <v>45</v>
      </c>
    </row>
    <row r="273" spans="1:9" x14ac:dyDescent="0.25">
      <c r="A273" s="28" t="s">
        <v>76</v>
      </c>
      <c r="B273" s="29">
        <v>46286</v>
      </c>
      <c r="C273" s="29">
        <v>46287</v>
      </c>
      <c r="D273" s="29">
        <v>46346</v>
      </c>
      <c r="E273" s="28" t="s">
        <v>578</v>
      </c>
      <c r="F273" s="28" t="s">
        <v>6</v>
      </c>
      <c r="G273" s="30">
        <v>11</v>
      </c>
      <c r="H273" s="30" t="s">
        <v>579</v>
      </c>
      <c r="I273" s="32" t="s">
        <v>45</v>
      </c>
    </row>
    <row r="274" spans="1:9" x14ac:dyDescent="0.25">
      <c r="A274" s="28" t="s">
        <v>76</v>
      </c>
      <c r="B274" s="29">
        <v>46286</v>
      </c>
      <c r="C274" s="29">
        <v>46287</v>
      </c>
      <c r="D274" s="29">
        <v>46346</v>
      </c>
      <c r="E274" s="28" t="s">
        <v>580</v>
      </c>
      <c r="F274" s="28" t="s">
        <v>6</v>
      </c>
      <c r="G274" s="30">
        <v>22</v>
      </c>
      <c r="H274" s="30" t="s">
        <v>581</v>
      </c>
      <c r="I274" s="32" t="s">
        <v>45</v>
      </c>
    </row>
    <row r="275" spans="1:9" x14ac:dyDescent="0.25">
      <c r="A275" s="28" t="s">
        <v>5</v>
      </c>
      <c r="B275" s="29">
        <v>46286</v>
      </c>
      <c r="C275" s="29">
        <v>46287</v>
      </c>
      <c r="D275" s="29">
        <v>46346</v>
      </c>
      <c r="E275" s="28" t="s">
        <v>580</v>
      </c>
      <c r="F275" s="28" t="s">
        <v>6</v>
      </c>
      <c r="G275" s="30">
        <v>1</v>
      </c>
      <c r="H275" s="30" t="s">
        <v>582</v>
      </c>
      <c r="I275" s="32" t="s">
        <v>45</v>
      </c>
    </row>
    <row r="276" spans="1:9" x14ac:dyDescent="0.25">
      <c r="A276" s="28" t="s">
        <v>5</v>
      </c>
      <c r="B276" s="29">
        <v>46286</v>
      </c>
      <c r="C276" s="29">
        <v>46287</v>
      </c>
      <c r="D276" s="29">
        <v>46346</v>
      </c>
      <c r="E276" s="28" t="s">
        <v>583</v>
      </c>
      <c r="F276" s="28" t="s">
        <v>6</v>
      </c>
      <c r="G276" s="30">
        <v>2</v>
      </c>
      <c r="H276" s="30" t="s">
        <v>584</v>
      </c>
      <c r="I276" s="32" t="s">
        <v>45</v>
      </c>
    </row>
    <row r="277" spans="1:9" x14ac:dyDescent="0.25">
      <c r="A277" s="28" t="s">
        <v>5</v>
      </c>
      <c r="B277" s="29">
        <v>46286</v>
      </c>
      <c r="C277" s="29">
        <v>46287</v>
      </c>
      <c r="D277" s="29">
        <v>46346</v>
      </c>
      <c r="E277" s="28" t="s">
        <v>585</v>
      </c>
      <c r="F277" s="28" t="s">
        <v>6</v>
      </c>
      <c r="G277" s="30">
        <v>1</v>
      </c>
      <c r="H277" s="30" t="s">
        <v>586</v>
      </c>
      <c r="I277" s="32" t="s">
        <v>45</v>
      </c>
    </row>
    <row r="278" spans="1:9" x14ac:dyDescent="0.25">
      <c r="A278" s="28" t="s">
        <v>5</v>
      </c>
      <c r="B278" s="29">
        <v>46286</v>
      </c>
      <c r="C278" s="29">
        <v>46287</v>
      </c>
      <c r="D278" s="29">
        <v>46346</v>
      </c>
      <c r="E278" s="28" t="s">
        <v>587</v>
      </c>
      <c r="F278" s="28" t="s">
        <v>6</v>
      </c>
      <c r="G278" s="30">
        <v>3</v>
      </c>
      <c r="H278" s="30" t="s">
        <v>588</v>
      </c>
      <c r="I278" s="32" t="s">
        <v>45</v>
      </c>
    </row>
    <row r="279" spans="1:9" x14ac:dyDescent="0.25">
      <c r="A279" s="28" t="s">
        <v>5</v>
      </c>
      <c r="B279" s="29">
        <v>46286</v>
      </c>
      <c r="C279" s="29">
        <v>46287</v>
      </c>
      <c r="D279" s="29">
        <v>46346</v>
      </c>
      <c r="E279" s="28" t="s">
        <v>589</v>
      </c>
      <c r="F279" s="28" t="s">
        <v>6</v>
      </c>
      <c r="G279" s="30">
        <v>20</v>
      </c>
      <c r="H279" s="30" t="s">
        <v>590</v>
      </c>
      <c r="I279" s="32" t="s">
        <v>45</v>
      </c>
    </row>
    <row r="280" spans="1:9" x14ac:dyDescent="0.25">
      <c r="A280" s="28" t="s">
        <v>53</v>
      </c>
      <c r="B280" s="29">
        <v>46286</v>
      </c>
      <c r="C280" s="29">
        <v>46287</v>
      </c>
      <c r="D280" s="29">
        <v>46346</v>
      </c>
      <c r="E280" s="28" t="s">
        <v>580</v>
      </c>
      <c r="F280" s="28" t="s">
        <v>6</v>
      </c>
      <c r="G280" s="30">
        <v>2</v>
      </c>
      <c r="H280" s="30" t="s">
        <v>591</v>
      </c>
      <c r="I280" s="32" t="s">
        <v>45</v>
      </c>
    </row>
    <row r="281" spans="1:9" x14ac:dyDescent="0.25">
      <c r="A281" s="28" t="s">
        <v>189</v>
      </c>
      <c r="B281" s="29">
        <v>46286</v>
      </c>
      <c r="C281" s="29">
        <v>46287</v>
      </c>
      <c r="D281" s="29">
        <v>46346</v>
      </c>
      <c r="E281" s="28" t="s">
        <v>592</v>
      </c>
      <c r="F281" s="28" t="s">
        <v>6</v>
      </c>
      <c r="G281" s="30">
        <v>2</v>
      </c>
      <c r="H281" s="30" t="s">
        <v>593</v>
      </c>
      <c r="I281" s="32" t="s">
        <v>45</v>
      </c>
    </row>
    <row r="282" spans="1:9" x14ac:dyDescent="0.25">
      <c r="A282" s="28" t="s">
        <v>189</v>
      </c>
      <c r="B282" s="29">
        <v>46286</v>
      </c>
      <c r="C282" s="29">
        <v>46287</v>
      </c>
      <c r="D282" s="29">
        <v>46346</v>
      </c>
      <c r="E282" s="28" t="s">
        <v>594</v>
      </c>
      <c r="F282" s="28" t="s">
        <v>6</v>
      </c>
      <c r="G282" s="30">
        <v>4</v>
      </c>
      <c r="H282" s="30" t="s">
        <v>595</v>
      </c>
      <c r="I282" s="32" t="s">
        <v>45</v>
      </c>
    </row>
    <row r="283" spans="1:9" x14ac:dyDescent="0.25">
      <c r="A283" s="28" t="s">
        <v>56</v>
      </c>
      <c r="B283" s="29">
        <v>46286</v>
      </c>
      <c r="C283" s="29">
        <v>46287</v>
      </c>
      <c r="D283" s="29">
        <v>46346</v>
      </c>
      <c r="E283" s="28" t="s">
        <v>580</v>
      </c>
      <c r="F283" s="28" t="s">
        <v>6</v>
      </c>
      <c r="G283" s="30">
        <v>2</v>
      </c>
      <c r="H283" s="30" t="s">
        <v>596</v>
      </c>
      <c r="I283" s="32" t="s">
        <v>45</v>
      </c>
    </row>
    <row r="284" spans="1:9" x14ac:dyDescent="0.25">
      <c r="A284" s="28" t="s">
        <v>56</v>
      </c>
      <c r="B284" s="29">
        <v>46286</v>
      </c>
      <c r="C284" s="29">
        <v>46287</v>
      </c>
      <c r="D284" s="29">
        <v>46346</v>
      </c>
      <c r="E284" s="28" t="s">
        <v>580</v>
      </c>
      <c r="F284" s="28" t="s">
        <v>6</v>
      </c>
      <c r="G284" s="30">
        <v>1</v>
      </c>
      <c r="H284" s="30" t="s">
        <v>597</v>
      </c>
      <c r="I284" s="32" t="s">
        <v>45</v>
      </c>
    </row>
    <row r="285" spans="1:9" x14ac:dyDescent="0.25">
      <c r="A285" s="28" t="s">
        <v>207</v>
      </c>
      <c r="B285" s="29">
        <v>46286</v>
      </c>
      <c r="C285" s="29">
        <v>46287</v>
      </c>
      <c r="D285" s="29">
        <v>46346</v>
      </c>
      <c r="E285" s="28" t="s">
        <v>598</v>
      </c>
      <c r="F285" s="28" t="s">
        <v>6</v>
      </c>
      <c r="G285" s="30">
        <v>1</v>
      </c>
      <c r="H285" s="30" t="s">
        <v>599</v>
      </c>
      <c r="I285" s="32" t="s">
        <v>45</v>
      </c>
    </row>
    <row r="286" spans="1:9" x14ac:dyDescent="0.25">
      <c r="A286" s="28" t="s">
        <v>207</v>
      </c>
      <c r="B286" s="29">
        <v>46286</v>
      </c>
      <c r="C286" s="29">
        <v>46287</v>
      </c>
      <c r="D286" s="29">
        <v>46346</v>
      </c>
      <c r="E286" s="28" t="s">
        <v>600</v>
      </c>
      <c r="F286" s="28" t="s">
        <v>6</v>
      </c>
      <c r="G286" s="30">
        <v>2</v>
      </c>
      <c r="H286" s="30" t="s">
        <v>601</v>
      </c>
      <c r="I286" s="32" t="s">
        <v>45</v>
      </c>
    </row>
    <row r="287" spans="1:9" x14ac:dyDescent="0.25">
      <c r="A287" s="28" t="s">
        <v>207</v>
      </c>
      <c r="B287" s="29">
        <v>46286</v>
      </c>
      <c r="C287" s="29">
        <v>46287</v>
      </c>
      <c r="D287" s="29">
        <v>46346</v>
      </c>
      <c r="E287" s="28" t="s">
        <v>602</v>
      </c>
      <c r="F287" s="28" t="s">
        <v>6</v>
      </c>
      <c r="G287" s="30">
        <v>72</v>
      </c>
      <c r="H287" s="30" t="s">
        <v>603</v>
      </c>
      <c r="I287" s="32" t="s">
        <v>45</v>
      </c>
    </row>
    <row r="288" spans="1:9" x14ac:dyDescent="0.25">
      <c r="A288" s="28" t="s">
        <v>5</v>
      </c>
      <c r="B288" s="29">
        <v>46287</v>
      </c>
      <c r="C288" s="29">
        <v>46287</v>
      </c>
      <c r="D288" s="29">
        <v>46353</v>
      </c>
      <c r="E288" s="28" t="s">
        <v>391</v>
      </c>
      <c r="F288" s="28" t="s">
        <v>6</v>
      </c>
      <c r="G288" s="30">
        <v>1</v>
      </c>
      <c r="H288" s="30" t="s">
        <v>604</v>
      </c>
      <c r="I288" s="32" t="s">
        <v>41</v>
      </c>
    </row>
    <row r="289" spans="1:9" x14ac:dyDescent="0.25">
      <c r="A289" s="28" t="s">
        <v>5</v>
      </c>
      <c r="B289" s="29">
        <v>46288</v>
      </c>
      <c r="C289" s="29">
        <v>46288</v>
      </c>
      <c r="D289" s="29">
        <v>46347</v>
      </c>
      <c r="E289" s="28" t="s">
        <v>605</v>
      </c>
      <c r="F289" s="28" t="s">
        <v>52</v>
      </c>
      <c r="G289" s="30">
        <v>106</v>
      </c>
      <c r="H289" s="30" t="s">
        <v>606</v>
      </c>
      <c r="I289" s="32" t="s">
        <v>37</v>
      </c>
    </row>
    <row r="290" spans="1:9" x14ac:dyDescent="0.25">
      <c r="A290" s="28" t="s">
        <v>5</v>
      </c>
      <c r="B290" s="29">
        <v>46280</v>
      </c>
      <c r="C290" s="29">
        <v>46288</v>
      </c>
      <c r="D290" s="29">
        <v>46340</v>
      </c>
      <c r="E290" s="28" t="s">
        <v>607</v>
      </c>
      <c r="F290" s="28" t="s">
        <v>6</v>
      </c>
      <c r="G290" s="30">
        <v>24</v>
      </c>
      <c r="H290" s="30" t="s">
        <v>608</v>
      </c>
      <c r="I290" s="32" t="s">
        <v>46</v>
      </c>
    </row>
    <row r="291" spans="1:9" x14ac:dyDescent="0.25">
      <c r="A291" s="28" t="s">
        <v>5</v>
      </c>
      <c r="B291" s="29">
        <v>46280</v>
      </c>
      <c r="C291" s="29">
        <v>46288</v>
      </c>
      <c r="D291" s="29">
        <v>46340</v>
      </c>
      <c r="E291" s="28" t="s">
        <v>609</v>
      </c>
      <c r="F291" s="28" t="s">
        <v>6</v>
      </c>
      <c r="G291" s="30">
        <v>29</v>
      </c>
      <c r="H291" s="30" t="s">
        <v>610</v>
      </c>
      <c r="I291" s="32" t="s">
        <v>46</v>
      </c>
    </row>
    <row r="292" spans="1:9" x14ac:dyDescent="0.25">
      <c r="A292" s="28" t="s">
        <v>5</v>
      </c>
      <c r="B292" s="29">
        <v>46280</v>
      </c>
      <c r="C292" s="29">
        <v>46288</v>
      </c>
      <c r="D292" s="29">
        <v>46340</v>
      </c>
      <c r="E292" s="28" t="s">
        <v>611</v>
      </c>
      <c r="F292" s="28" t="s">
        <v>6</v>
      </c>
      <c r="G292" s="30">
        <v>3</v>
      </c>
      <c r="H292" s="30" t="s">
        <v>612</v>
      </c>
      <c r="I292" s="32" t="s">
        <v>46</v>
      </c>
    </row>
    <row r="293" spans="1:9" x14ac:dyDescent="0.25">
      <c r="A293" s="28" t="s">
        <v>5</v>
      </c>
      <c r="B293" s="29">
        <v>46280</v>
      </c>
      <c r="C293" s="29">
        <v>46288</v>
      </c>
      <c r="D293" s="29">
        <v>46340</v>
      </c>
      <c r="E293" s="28" t="s">
        <v>613</v>
      </c>
      <c r="F293" s="28" t="s">
        <v>6</v>
      </c>
      <c r="G293" s="30">
        <v>1</v>
      </c>
      <c r="H293" s="30" t="s">
        <v>614</v>
      </c>
      <c r="I293" s="32" t="s">
        <v>46</v>
      </c>
    </row>
    <row r="294" spans="1:9" x14ac:dyDescent="0.25">
      <c r="A294" s="28" t="s">
        <v>180</v>
      </c>
      <c r="B294" s="29">
        <v>46288</v>
      </c>
      <c r="C294" s="29">
        <v>46289</v>
      </c>
      <c r="D294" s="29">
        <v>46348</v>
      </c>
      <c r="E294" s="28" t="s">
        <v>615</v>
      </c>
      <c r="F294" s="28" t="s">
        <v>101</v>
      </c>
      <c r="G294" s="30">
        <v>53</v>
      </c>
      <c r="H294" s="30" t="s">
        <v>616</v>
      </c>
      <c r="I294" s="32" t="s">
        <v>31</v>
      </c>
    </row>
    <row r="295" spans="1:9" x14ac:dyDescent="0.25">
      <c r="A295" s="28" t="s">
        <v>180</v>
      </c>
      <c r="B295" s="29">
        <v>46289</v>
      </c>
      <c r="C295" s="29">
        <v>46289</v>
      </c>
      <c r="D295" s="29">
        <v>46345</v>
      </c>
      <c r="E295" s="28" t="s">
        <v>637</v>
      </c>
      <c r="F295" s="28" t="s">
        <v>101</v>
      </c>
      <c r="G295" s="30">
        <v>426</v>
      </c>
      <c r="H295" s="30" t="s">
        <v>618</v>
      </c>
      <c r="I295" s="32" t="s">
        <v>34</v>
      </c>
    </row>
    <row r="296" spans="1:9" x14ac:dyDescent="0.25">
      <c r="A296" s="28" t="s">
        <v>326</v>
      </c>
      <c r="B296" s="29">
        <v>46288</v>
      </c>
      <c r="C296" s="29">
        <v>46289</v>
      </c>
      <c r="D296" s="29">
        <v>46348</v>
      </c>
      <c r="E296" s="28" t="s">
        <v>619</v>
      </c>
      <c r="F296" s="28" t="s">
        <v>101</v>
      </c>
      <c r="G296" s="30">
        <v>4</v>
      </c>
      <c r="H296" s="30" t="s">
        <v>620</v>
      </c>
      <c r="I296" s="32" t="s">
        <v>31</v>
      </c>
    </row>
    <row r="297" spans="1:9" x14ac:dyDescent="0.25">
      <c r="A297" s="28" t="s">
        <v>5</v>
      </c>
      <c r="B297" s="29">
        <v>46288</v>
      </c>
      <c r="C297" s="29">
        <v>46289</v>
      </c>
      <c r="D297" s="29">
        <v>46350</v>
      </c>
      <c r="E297" s="28" t="s">
        <v>621</v>
      </c>
      <c r="F297" s="28" t="s">
        <v>6</v>
      </c>
      <c r="G297" s="30">
        <v>73</v>
      </c>
      <c r="H297" s="30" t="s">
        <v>622</v>
      </c>
      <c r="I297" s="32" t="s">
        <v>45</v>
      </c>
    </row>
    <row r="298" spans="1:9" x14ac:dyDescent="0.25">
      <c r="A298" s="28" t="s">
        <v>54</v>
      </c>
      <c r="B298" s="29">
        <v>46287</v>
      </c>
      <c r="C298" s="29">
        <v>46289</v>
      </c>
      <c r="D298" s="29">
        <v>46293</v>
      </c>
      <c r="E298" s="28" t="s">
        <v>623</v>
      </c>
      <c r="F298" s="28" t="s">
        <v>6</v>
      </c>
      <c r="G298" s="30">
        <v>42</v>
      </c>
      <c r="H298" s="30" t="s">
        <v>624</v>
      </c>
      <c r="I298" s="32" t="s">
        <v>45</v>
      </c>
    </row>
    <row r="299" spans="1:9" x14ac:dyDescent="0.25">
      <c r="A299" s="28" t="s">
        <v>54</v>
      </c>
      <c r="B299" s="29">
        <v>46287</v>
      </c>
      <c r="C299" s="29">
        <v>46289</v>
      </c>
      <c r="D299" s="29">
        <v>46293</v>
      </c>
      <c r="E299" s="28" t="s">
        <v>625</v>
      </c>
      <c r="F299" s="28" t="s">
        <v>6</v>
      </c>
      <c r="G299" s="30">
        <v>9</v>
      </c>
      <c r="H299" s="30" t="s">
        <v>626</v>
      </c>
      <c r="I299" s="32" t="s">
        <v>45</v>
      </c>
    </row>
    <row r="300" spans="1:9" x14ac:dyDescent="0.25">
      <c r="A300" s="28" t="s">
        <v>127</v>
      </c>
      <c r="B300" s="29">
        <v>46289</v>
      </c>
      <c r="C300" s="29">
        <v>46289</v>
      </c>
      <c r="D300" s="29">
        <v>46348</v>
      </c>
      <c r="E300" s="28" t="s">
        <v>637</v>
      </c>
      <c r="F300" s="28" t="s">
        <v>101</v>
      </c>
      <c r="G300" s="30">
        <v>90</v>
      </c>
      <c r="H300" s="30" t="s">
        <v>627</v>
      </c>
      <c r="I300" s="32" t="s">
        <v>34</v>
      </c>
    </row>
    <row r="301" spans="1:9" x14ac:dyDescent="0.25">
      <c r="A301" s="28" t="s">
        <v>180</v>
      </c>
      <c r="B301" s="29">
        <v>46287</v>
      </c>
      <c r="C301" s="29">
        <v>46290</v>
      </c>
      <c r="D301" s="29">
        <v>46345</v>
      </c>
      <c r="E301" s="28" t="s">
        <v>617</v>
      </c>
      <c r="F301" s="28" t="s">
        <v>101</v>
      </c>
      <c r="G301" s="30">
        <v>221</v>
      </c>
      <c r="H301" s="30" t="s">
        <v>618</v>
      </c>
      <c r="I301" s="32" t="s">
        <v>34</v>
      </c>
    </row>
    <row r="302" spans="1:9" x14ac:dyDescent="0.25">
      <c r="A302" s="28" t="s">
        <v>5</v>
      </c>
      <c r="B302" s="29">
        <v>46289</v>
      </c>
      <c r="C302" s="29">
        <v>46290</v>
      </c>
      <c r="D302" s="29">
        <v>46349</v>
      </c>
      <c r="E302" s="28" t="s">
        <v>628</v>
      </c>
      <c r="F302" s="28" t="s">
        <v>506</v>
      </c>
      <c r="G302" s="30">
        <v>4</v>
      </c>
      <c r="H302" s="30" t="s">
        <v>629</v>
      </c>
      <c r="I302" s="32" t="s">
        <v>39</v>
      </c>
    </row>
    <row r="303" spans="1:9" x14ac:dyDescent="0.25">
      <c r="A303" s="28" t="s">
        <v>5</v>
      </c>
      <c r="B303" s="29">
        <v>46289</v>
      </c>
      <c r="C303" s="29">
        <v>46290</v>
      </c>
      <c r="D303" s="29">
        <v>46349</v>
      </c>
      <c r="E303" s="28" t="s">
        <v>630</v>
      </c>
      <c r="F303" s="28" t="s">
        <v>506</v>
      </c>
      <c r="G303" s="30">
        <v>15</v>
      </c>
      <c r="H303" s="30" t="s">
        <v>631</v>
      </c>
      <c r="I303" s="32" t="s">
        <v>39</v>
      </c>
    </row>
    <row r="304" spans="1:9" x14ac:dyDescent="0.25">
      <c r="A304" s="28" t="s">
        <v>79</v>
      </c>
      <c r="B304" s="29">
        <v>46293</v>
      </c>
      <c r="C304" s="29">
        <v>46293</v>
      </c>
      <c r="D304" s="29">
        <v>46356</v>
      </c>
      <c r="E304" s="28" t="s">
        <v>632</v>
      </c>
      <c r="F304" s="28" t="s">
        <v>6</v>
      </c>
      <c r="G304" s="30">
        <v>1279</v>
      </c>
      <c r="H304" s="30" t="s">
        <v>633</v>
      </c>
      <c r="I304" s="32" t="s">
        <v>43</v>
      </c>
    </row>
    <row r="305" spans="1:9" x14ac:dyDescent="0.25">
      <c r="A305" s="28" t="s">
        <v>634</v>
      </c>
      <c r="B305" s="29">
        <v>46289</v>
      </c>
      <c r="C305" s="29">
        <v>46293</v>
      </c>
      <c r="D305" s="29">
        <v>46360</v>
      </c>
      <c r="E305" s="28" t="s">
        <v>635</v>
      </c>
      <c r="F305" s="28" t="s">
        <v>6</v>
      </c>
      <c r="G305" s="30">
        <v>117</v>
      </c>
      <c r="H305" s="30" t="s">
        <v>636</v>
      </c>
      <c r="I305" s="32" t="s">
        <v>34</v>
      </c>
    </row>
    <row r="306" spans="1:9" x14ac:dyDescent="0.25">
      <c r="A306" s="28" t="s">
        <v>76</v>
      </c>
      <c r="B306" s="29">
        <v>46294</v>
      </c>
      <c r="C306" s="29">
        <v>46294</v>
      </c>
      <c r="D306" s="29">
        <v>46356</v>
      </c>
      <c r="E306" s="28" t="s">
        <v>638</v>
      </c>
      <c r="F306" s="28" t="s">
        <v>6</v>
      </c>
      <c r="G306" s="30">
        <v>142</v>
      </c>
      <c r="H306" s="30" t="s">
        <v>639</v>
      </c>
      <c r="I306" s="32" t="s">
        <v>38</v>
      </c>
    </row>
    <row r="307" spans="1:9" x14ac:dyDescent="0.25">
      <c r="A307" s="28" t="s">
        <v>57</v>
      </c>
      <c r="B307" s="29">
        <v>46293</v>
      </c>
      <c r="C307" s="29">
        <v>46294</v>
      </c>
      <c r="D307" s="29">
        <v>46325</v>
      </c>
      <c r="E307" s="28" t="s">
        <v>321</v>
      </c>
      <c r="F307" s="28" t="s">
        <v>6</v>
      </c>
      <c r="G307" s="30">
        <v>2</v>
      </c>
      <c r="H307" s="30" t="s">
        <v>322</v>
      </c>
      <c r="I307" s="32" t="s">
        <v>34</v>
      </c>
    </row>
    <row r="308" spans="1:9" x14ac:dyDescent="0.25">
      <c r="A308" s="28" t="s">
        <v>5</v>
      </c>
      <c r="B308" s="29">
        <v>46294</v>
      </c>
      <c r="C308" s="29">
        <v>46294</v>
      </c>
      <c r="D308" s="29">
        <v>46326</v>
      </c>
      <c r="E308" s="28" t="s">
        <v>640</v>
      </c>
      <c r="F308" s="28" t="s">
        <v>6</v>
      </c>
      <c r="G308" s="30">
        <v>5</v>
      </c>
      <c r="H308" s="30" t="s">
        <v>641</v>
      </c>
      <c r="I308" s="32" t="s">
        <v>43</v>
      </c>
    </row>
    <row r="309" spans="1:9" x14ac:dyDescent="0.25">
      <c r="A309" s="28" t="s">
        <v>5</v>
      </c>
      <c r="B309" s="29">
        <v>46294</v>
      </c>
      <c r="C309" s="29">
        <v>46294</v>
      </c>
      <c r="D309" s="29">
        <v>46326</v>
      </c>
      <c r="E309" s="28" t="s">
        <v>642</v>
      </c>
      <c r="F309" s="28" t="s">
        <v>6</v>
      </c>
      <c r="G309" s="30">
        <v>5</v>
      </c>
      <c r="H309" s="30" t="s">
        <v>643</v>
      </c>
      <c r="I309" s="32" t="s">
        <v>43</v>
      </c>
    </row>
    <row r="310" spans="1:9" x14ac:dyDescent="0.25">
      <c r="A310" s="28" t="s">
        <v>5</v>
      </c>
      <c r="B310" s="29">
        <v>46294</v>
      </c>
      <c r="C310" s="29">
        <v>46294</v>
      </c>
      <c r="D310" s="29">
        <v>46326</v>
      </c>
      <c r="E310" s="28" t="s">
        <v>644</v>
      </c>
      <c r="F310" s="28" t="s">
        <v>6</v>
      </c>
      <c r="G310" s="30">
        <v>5</v>
      </c>
      <c r="H310" s="30" t="s">
        <v>645</v>
      </c>
      <c r="I310" s="32" t="s">
        <v>43</v>
      </c>
    </row>
    <row r="311" spans="1:9" x14ac:dyDescent="0.25">
      <c r="A311" s="28" t="s">
        <v>5</v>
      </c>
      <c r="B311" s="29">
        <v>46294</v>
      </c>
      <c r="C311" s="29">
        <v>46294</v>
      </c>
      <c r="D311" s="29">
        <v>46326</v>
      </c>
      <c r="E311" s="28" t="s">
        <v>646</v>
      </c>
      <c r="F311" s="28" t="s">
        <v>6</v>
      </c>
      <c r="G311" s="30">
        <v>5</v>
      </c>
      <c r="H311" s="30" t="s">
        <v>647</v>
      </c>
      <c r="I311" s="32" t="s">
        <v>43</v>
      </c>
    </row>
    <row r="312" spans="1:9" x14ac:dyDescent="0.25">
      <c r="A312" s="28" t="s">
        <v>5</v>
      </c>
      <c r="B312" s="29">
        <v>46294</v>
      </c>
      <c r="C312" s="29">
        <v>46294</v>
      </c>
      <c r="D312" s="29">
        <v>46326</v>
      </c>
      <c r="E312" s="28" t="s">
        <v>648</v>
      </c>
      <c r="F312" s="28" t="s">
        <v>6</v>
      </c>
      <c r="G312" s="30">
        <v>5</v>
      </c>
      <c r="H312" s="30" t="s">
        <v>649</v>
      </c>
      <c r="I312" s="32" t="s">
        <v>43</v>
      </c>
    </row>
    <row r="313" spans="1:9" x14ac:dyDescent="0.25">
      <c r="A313" s="28" t="s">
        <v>5</v>
      </c>
      <c r="B313" s="29">
        <v>46294</v>
      </c>
      <c r="C313" s="29">
        <v>46294</v>
      </c>
      <c r="D313" s="29">
        <v>46326</v>
      </c>
      <c r="E313" s="28" t="s">
        <v>650</v>
      </c>
      <c r="F313" s="28" t="s">
        <v>6</v>
      </c>
      <c r="G313" s="30">
        <v>5</v>
      </c>
      <c r="H313" s="30" t="s">
        <v>651</v>
      </c>
      <c r="I313" s="32" t="s">
        <v>43</v>
      </c>
    </row>
    <row r="314" spans="1:9" x14ac:dyDescent="0.25">
      <c r="A314" s="28" t="s">
        <v>5</v>
      </c>
      <c r="B314" s="29">
        <v>46294</v>
      </c>
      <c r="C314" s="29">
        <v>46294</v>
      </c>
      <c r="D314" s="29">
        <v>46326</v>
      </c>
      <c r="E314" s="28" t="s">
        <v>652</v>
      </c>
      <c r="F314" s="28" t="s">
        <v>6</v>
      </c>
      <c r="G314" s="30">
        <v>5</v>
      </c>
      <c r="H314" s="30" t="s">
        <v>653</v>
      </c>
      <c r="I314" s="32" t="s">
        <v>43</v>
      </c>
    </row>
    <row r="315" spans="1:9" x14ac:dyDescent="0.25">
      <c r="A315" s="28" t="s">
        <v>5</v>
      </c>
      <c r="B315" s="29">
        <v>46294</v>
      </c>
      <c r="C315" s="29">
        <v>46294</v>
      </c>
      <c r="D315" s="29">
        <v>46326</v>
      </c>
      <c r="E315" s="28" t="s">
        <v>654</v>
      </c>
      <c r="F315" s="28" t="s">
        <v>6</v>
      </c>
      <c r="G315" s="30">
        <v>5</v>
      </c>
      <c r="H315" s="30" t="s">
        <v>655</v>
      </c>
      <c r="I315" s="32" t="s">
        <v>43</v>
      </c>
    </row>
    <row r="316" spans="1:9" x14ac:dyDescent="0.25">
      <c r="A316" s="28" t="s">
        <v>5</v>
      </c>
      <c r="B316" s="29">
        <v>46294</v>
      </c>
      <c r="C316" s="29">
        <v>46294</v>
      </c>
      <c r="D316" s="29">
        <v>46326</v>
      </c>
      <c r="E316" s="28" t="s">
        <v>656</v>
      </c>
      <c r="F316" s="28" t="s">
        <v>6</v>
      </c>
      <c r="G316" s="30">
        <v>5</v>
      </c>
      <c r="H316" s="30" t="s">
        <v>657</v>
      </c>
      <c r="I316" s="32" t="s">
        <v>43</v>
      </c>
    </row>
    <row r="317" spans="1:9" x14ac:dyDescent="0.25">
      <c r="A317" s="28" t="s">
        <v>5</v>
      </c>
      <c r="B317" s="29">
        <v>46294</v>
      </c>
      <c r="C317" s="29">
        <v>46294</v>
      </c>
      <c r="D317" s="29">
        <v>46326</v>
      </c>
      <c r="E317" s="28" t="s">
        <v>658</v>
      </c>
      <c r="F317" s="28" t="s">
        <v>6</v>
      </c>
      <c r="G317" s="30">
        <v>5</v>
      </c>
      <c r="H317" s="30" t="s">
        <v>659</v>
      </c>
      <c r="I317" s="32" t="s">
        <v>43</v>
      </c>
    </row>
    <row r="318" spans="1:9" x14ac:dyDescent="0.25">
      <c r="A318" s="28" t="s">
        <v>5</v>
      </c>
      <c r="B318" s="29">
        <v>46294</v>
      </c>
      <c r="C318" s="29">
        <v>46294</v>
      </c>
      <c r="D318" s="29">
        <v>46326</v>
      </c>
      <c r="E318" s="28" t="s">
        <v>660</v>
      </c>
      <c r="F318" s="28" t="s">
        <v>6</v>
      </c>
      <c r="G318" s="30">
        <v>5</v>
      </c>
      <c r="H318" s="30" t="s">
        <v>661</v>
      </c>
      <c r="I318" s="32" t="s">
        <v>43</v>
      </c>
    </row>
    <row r="319" spans="1:9" x14ac:dyDescent="0.25">
      <c r="A319" s="28" t="s">
        <v>5</v>
      </c>
      <c r="B319" s="29">
        <v>46294</v>
      </c>
      <c r="C319" s="29">
        <v>46294</v>
      </c>
      <c r="D319" s="29">
        <v>46326</v>
      </c>
      <c r="E319" s="28" t="s">
        <v>662</v>
      </c>
      <c r="F319" s="28" t="s">
        <v>6</v>
      </c>
      <c r="G319" s="30">
        <v>5</v>
      </c>
      <c r="H319" s="30" t="s">
        <v>663</v>
      </c>
      <c r="I319" s="32" t="s">
        <v>43</v>
      </c>
    </row>
    <row r="320" spans="1:9" x14ac:dyDescent="0.25">
      <c r="A320" s="28" t="s">
        <v>5</v>
      </c>
      <c r="B320" s="29">
        <v>46294</v>
      </c>
      <c r="C320" s="29">
        <v>46294</v>
      </c>
      <c r="D320" s="29">
        <v>46326</v>
      </c>
      <c r="E320" s="28" t="s">
        <v>664</v>
      </c>
      <c r="F320" s="28" t="s">
        <v>6</v>
      </c>
      <c r="G320" s="30">
        <v>5</v>
      </c>
      <c r="H320" s="30" t="s">
        <v>665</v>
      </c>
      <c r="I320" s="32" t="s">
        <v>43</v>
      </c>
    </row>
    <row r="321" spans="1:9" x14ac:dyDescent="0.25">
      <c r="A321" s="28" t="s">
        <v>5</v>
      </c>
      <c r="B321" s="29">
        <v>46294</v>
      </c>
      <c r="C321" s="29">
        <v>46294</v>
      </c>
      <c r="D321" s="29">
        <v>46326</v>
      </c>
      <c r="E321" s="28" t="s">
        <v>666</v>
      </c>
      <c r="F321" s="28" t="s">
        <v>6</v>
      </c>
      <c r="G321" s="30">
        <v>5</v>
      </c>
      <c r="H321" s="30" t="s">
        <v>667</v>
      </c>
      <c r="I321" s="32" t="s">
        <v>43</v>
      </c>
    </row>
    <row r="322" spans="1:9" x14ac:dyDescent="0.25">
      <c r="A322" s="28" t="s">
        <v>5</v>
      </c>
      <c r="B322" s="29">
        <v>46294</v>
      </c>
      <c r="C322" s="29">
        <v>46294</v>
      </c>
      <c r="D322" s="29">
        <v>46326</v>
      </c>
      <c r="E322" s="28" t="s">
        <v>668</v>
      </c>
      <c r="F322" s="28" t="s">
        <v>6</v>
      </c>
      <c r="G322" s="30">
        <v>5</v>
      </c>
      <c r="H322" s="30" t="s">
        <v>669</v>
      </c>
      <c r="I322" s="32" t="s">
        <v>43</v>
      </c>
    </row>
    <row r="323" spans="1:9" x14ac:dyDescent="0.25">
      <c r="A323" s="28" t="s">
        <v>5</v>
      </c>
      <c r="B323" s="29">
        <v>46294</v>
      </c>
      <c r="C323" s="29">
        <v>46294</v>
      </c>
      <c r="D323" s="29">
        <v>46326</v>
      </c>
      <c r="E323" s="28" t="s">
        <v>670</v>
      </c>
      <c r="F323" s="28" t="s">
        <v>6</v>
      </c>
      <c r="G323" s="30">
        <v>5</v>
      </c>
      <c r="H323" s="30" t="s">
        <v>671</v>
      </c>
      <c r="I323" s="32" t="s">
        <v>43</v>
      </c>
    </row>
    <row r="324" spans="1:9" x14ac:dyDescent="0.25">
      <c r="A324" s="28" t="s">
        <v>5</v>
      </c>
      <c r="B324" s="29">
        <v>46294</v>
      </c>
      <c r="C324" s="29">
        <v>46294</v>
      </c>
      <c r="D324" s="29">
        <v>46326</v>
      </c>
      <c r="E324" s="28" t="s">
        <v>672</v>
      </c>
      <c r="F324" s="28" t="s">
        <v>6</v>
      </c>
      <c r="G324" s="30">
        <v>5</v>
      </c>
      <c r="H324" s="30" t="s">
        <v>673</v>
      </c>
      <c r="I324" s="32" t="s">
        <v>43</v>
      </c>
    </row>
    <row r="325" spans="1:9" x14ac:dyDescent="0.25">
      <c r="A325" s="28" t="s">
        <v>5</v>
      </c>
      <c r="B325" s="29">
        <v>46294</v>
      </c>
      <c r="C325" s="29">
        <v>46294</v>
      </c>
      <c r="D325" s="29">
        <v>46326</v>
      </c>
      <c r="E325" s="28" t="s">
        <v>674</v>
      </c>
      <c r="F325" s="28" t="s">
        <v>6</v>
      </c>
      <c r="G325" s="30">
        <v>5</v>
      </c>
      <c r="H325" s="30" t="s">
        <v>675</v>
      </c>
      <c r="I325" s="32" t="s">
        <v>43</v>
      </c>
    </row>
    <row r="326" spans="1:9" x14ac:dyDescent="0.25">
      <c r="A326" s="28" t="s">
        <v>5</v>
      </c>
      <c r="B326" s="29">
        <v>46294</v>
      </c>
      <c r="C326" s="29">
        <v>46294</v>
      </c>
      <c r="D326" s="29">
        <v>46326</v>
      </c>
      <c r="E326" s="28" t="s">
        <v>676</v>
      </c>
      <c r="F326" s="28" t="s">
        <v>6</v>
      </c>
      <c r="G326" s="30">
        <v>5</v>
      </c>
      <c r="H326" s="30" t="s">
        <v>677</v>
      </c>
      <c r="I326" s="32" t="s">
        <v>43</v>
      </c>
    </row>
    <row r="327" spans="1:9" x14ac:dyDescent="0.25">
      <c r="A327" s="28" t="s">
        <v>5</v>
      </c>
      <c r="B327" s="29">
        <v>46294</v>
      </c>
      <c r="C327" s="29">
        <v>46294</v>
      </c>
      <c r="D327" s="29">
        <v>46326</v>
      </c>
      <c r="E327" s="28" t="s">
        <v>678</v>
      </c>
      <c r="F327" s="28" t="s">
        <v>6</v>
      </c>
      <c r="G327" s="30">
        <v>5</v>
      </c>
      <c r="H327" s="30" t="s">
        <v>679</v>
      </c>
      <c r="I327" s="32" t="s">
        <v>43</v>
      </c>
    </row>
    <row r="328" spans="1:9" x14ac:dyDescent="0.25">
      <c r="A328" s="28" t="s">
        <v>5</v>
      </c>
      <c r="B328" s="29">
        <v>46294</v>
      </c>
      <c r="C328" s="29">
        <v>46294</v>
      </c>
      <c r="D328" s="29">
        <v>46326</v>
      </c>
      <c r="E328" s="28" t="s">
        <v>680</v>
      </c>
      <c r="F328" s="28" t="s">
        <v>6</v>
      </c>
      <c r="G328" s="30">
        <v>5</v>
      </c>
      <c r="H328" s="30" t="s">
        <v>681</v>
      </c>
      <c r="I328" s="32" t="s">
        <v>43</v>
      </c>
    </row>
    <row r="329" spans="1:9" x14ac:dyDescent="0.25">
      <c r="A329" s="28" t="s">
        <v>5</v>
      </c>
      <c r="B329" s="29">
        <v>46294</v>
      </c>
      <c r="C329" s="29">
        <v>46294</v>
      </c>
      <c r="D329" s="29">
        <v>46326</v>
      </c>
      <c r="E329" s="28" t="s">
        <v>682</v>
      </c>
      <c r="F329" s="28" t="s">
        <v>6</v>
      </c>
      <c r="G329" s="30">
        <v>5</v>
      </c>
      <c r="H329" s="30" t="s">
        <v>683</v>
      </c>
      <c r="I329" s="32" t="s">
        <v>43</v>
      </c>
    </row>
    <row r="330" spans="1:9" x14ac:dyDescent="0.25">
      <c r="A330" s="28" t="s">
        <v>5</v>
      </c>
      <c r="B330" s="29">
        <v>46294</v>
      </c>
      <c r="C330" s="29">
        <v>46294</v>
      </c>
      <c r="D330" s="29">
        <v>46326</v>
      </c>
      <c r="E330" s="28" t="s">
        <v>684</v>
      </c>
      <c r="F330" s="28" t="s">
        <v>6</v>
      </c>
      <c r="G330" s="30">
        <v>5</v>
      </c>
      <c r="H330" s="30" t="s">
        <v>685</v>
      </c>
      <c r="I330" s="32" t="s">
        <v>43</v>
      </c>
    </row>
    <row r="331" spans="1:9" x14ac:dyDescent="0.25">
      <c r="A331" s="28" t="s">
        <v>5</v>
      </c>
      <c r="B331" s="29">
        <v>46294</v>
      </c>
      <c r="C331" s="29">
        <v>46294</v>
      </c>
      <c r="D331" s="29">
        <v>46326</v>
      </c>
      <c r="E331" s="28" t="s">
        <v>686</v>
      </c>
      <c r="F331" s="28" t="s">
        <v>6</v>
      </c>
      <c r="G331" s="30">
        <v>5</v>
      </c>
      <c r="H331" s="30" t="s">
        <v>687</v>
      </c>
      <c r="I331" s="32" t="s">
        <v>43</v>
      </c>
    </row>
    <row r="332" spans="1:9" x14ac:dyDescent="0.25">
      <c r="A332" s="28" t="s">
        <v>5</v>
      </c>
      <c r="B332" s="29">
        <v>46294</v>
      </c>
      <c r="C332" s="29">
        <v>46294</v>
      </c>
      <c r="D332" s="29">
        <v>46326</v>
      </c>
      <c r="E332" s="28" t="s">
        <v>686</v>
      </c>
      <c r="F332" s="28" t="s">
        <v>6</v>
      </c>
      <c r="G332" s="30">
        <v>5</v>
      </c>
      <c r="H332" s="30" t="s">
        <v>687</v>
      </c>
      <c r="I332" s="32" t="s">
        <v>43</v>
      </c>
    </row>
    <row r="333" spans="1:9" x14ac:dyDescent="0.25">
      <c r="A333" s="28" t="s">
        <v>5</v>
      </c>
      <c r="B333" s="29">
        <v>46294</v>
      </c>
      <c r="C333" s="29">
        <v>46294</v>
      </c>
      <c r="D333" s="29">
        <v>46326</v>
      </c>
      <c r="E333" s="28" t="s">
        <v>688</v>
      </c>
      <c r="F333" s="28" t="s">
        <v>6</v>
      </c>
      <c r="G333" s="30">
        <v>5</v>
      </c>
      <c r="H333" s="30" t="s">
        <v>689</v>
      </c>
      <c r="I333" s="32" t="s">
        <v>43</v>
      </c>
    </row>
    <row r="334" spans="1:9" x14ac:dyDescent="0.25">
      <c r="A334" s="28" t="s">
        <v>5</v>
      </c>
      <c r="B334" s="29">
        <v>46294</v>
      </c>
      <c r="C334" s="29">
        <v>46294</v>
      </c>
      <c r="D334" s="29">
        <v>46326</v>
      </c>
      <c r="E334" s="28" t="s">
        <v>690</v>
      </c>
      <c r="F334" s="28" t="s">
        <v>6</v>
      </c>
      <c r="G334" s="30">
        <v>5</v>
      </c>
      <c r="H334" s="30" t="s">
        <v>691</v>
      </c>
      <c r="I334" s="32" t="s">
        <v>43</v>
      </c>
    </row>
    <row r="335" spans="1:9" x14ac:dyDescent="0.25">
      <c r="A335" s="28" t="s">
        <v>5</v>
      </c>
      <c r="B335" s="29">
        <v>46294</v>
      </c>
      <c r="C335" s="29">
        <v>46294</v>
      </c>
      <c r="D335" s="29">
        <v>46326</v>
      </c>
      <c r="E335" s="28" t="s">
        <v>692</v>
      </c>
      <c r="F335" s="28" t="s">
        <v>6</v>
      </c>
      <c r="G335" s="30">
        <v>5</v>
      </c>
      <c r="H335" s="30" t="s">
        <v>693</v>
      </c>
      <c r="I335" s="32" t="s">
        <v>43</v>
      </c>
    </row>
    <row r="336" spans="1:9" x14ac:dyDescent="0.25">
      <c r="A336" s="28" t="s">
        <v>5</v>
      </c>
      <c r="B336" s="29">
        <v>46294</v>
      </c>
      <c r="C336" s="29">
        <v>46294</v>
      </c>
      <c r="D336" s="29">
        <v>46326</v>
      </c>
      <c r="E336" s="28" t="s">
        <v>694</v>
      </c>
      <c r="F336" s="28" t="s">
        <v>6</v>
      </c>
      <c r="G336" s="30">
        <v>5</v>
      </c>
      <c r="H336" s="30" t="s">
        <v>695</v>
      </c>
      <c r="I336" s="32" t="s">
        <v>43</v>
      </c>
    </row>
    <row r="337" spans="1:9" x14ac:dyDescent="0.25">
      <c r="A337" s="28" t="s">
        <v>127</v>
      </c>
      <c r="B337" s="29">
        <v>46287</v>
      </c>
      <c r="C337" s="29">
        <v>46294</v>
      </c>
      <c r="D337" s="29">
        <v>46345</v>
      </c>
      <c r="E337" s="28" t="s">
        <v>617</v>
      </c>
      <c r="F337" s="28" t="s">
        <v>101</v>
      </c>
      <c r="G337" s="30">
        <v>221</v>
      </c>
      <c r="H337" s="30" t="s">
        <v>696</v>
      </c>
      <c r="I337" s="32" t="s">
        <v>34</v>
      </c>
    </row>
    <row r="338" spans="1:9" x14ac:dyDescent="0.25">
      <c r="A338" s="28" t="s">
        <v>5</v>
      </c>
      <c r="B338" s="29">
        <v>46295</v>
      </c>
      <c r="C338" s="29">
        <v>46295</v>
      </c>
      <c r="D338" s="29">
        <v>46360</v>
      </c>
      <c r="E338" s="28" t="s">
        <v>697</v>
      </c>
      <c r="F338" s="28" t="s">
        <v>52</v>
      </c>
      <c r="G338" s="30">
        <v>60</v>
      </c>
      <c r="H338" s="30" t="s">
        <v>698</v>
      </c>
      <c r="I338" s="32" t="s">
        <v>37</v>
      </c>
    </row>
    <row r="339" spans="1:9" x14ac:dyDescent="0.25">
      <c r="A339" s="28" t="s">
        <v>5</v>
      </c>
      <c r="B339" s="29">
        <v>46293</v>
      </c>
      <c r="C339" s="29">
        <v>46295</v>
      </c>
      <c r="D339" s="29">
        <v>46356</v>
      </c>
      <c r="E339" s="28" t="s">
        <v>699</v>
      </c>
      <c r="F339" s="28" t="s">
        <v>52</v>
      </c>
      <c r="G339" s="30">
        <v>45</v>
      </c>
      <c r="H339" s="30" t="s">
        <v>700</v>
      </c>
      <c r="I339" s="32" t="s">
        <v>34</v>
      </c>
    </row>
    <row r="340" spans="1:9" x14ac:dyDescent="0.25">
      <c r="A340" s="33" t="s">
        <v>207</v>
      </c>
      <c r="B340" s="41">
        <v>46289</v>
      </c>
      <c r="C340" s="41">
        <v>46296</v>
      </c>
      <c r="D340" s="41">
        <v>46266</v>
      </c>
      <c r="E340" s="49" t="s">
        <v>701</v>
      </c>
      <c r="F340" s="49" t="s">
        <v>6</v>
      </c>
      <c r="G340" s="50">
        <v>85</v>
      </c>
      <c r="H340" s="51" t="s">
        <v>702</v>
      </c>
      <c r="I340" s="32" t="s">
        <v>34</v>
      </c>
    </row>
    <row r="341" spans="1:9" x14ac:dyDescent="0.25">
      <c r="A341" s="33" t="s">
        <v>5</v>
      </c>
      <c r="B341" s="41">
        <v>46296</v>
      </c>
      <c r="C341" s="41">
        <v>46297</v>
      </c>
      <c r="D341" s="41">
        <v>46356</v>
      </c>
      <c r="E341" s="49" t="s">
        <v>703</v>
      </c>
      <c r="F341" s="49" t="s">
        <v>52</v>
      </c>
      <c r="G341" s="50">
        <v>92</v>
      </c>
      <c r="H341" s="51" t="s">
        <v>704</v>
      </c>
      <c r="I341" s="32" t="s">
        <v>46</v>
      </c>
    </row>
    <row r="342" spans="1:9" x14ac:dyDescent="0.25">
      <c r="A342" s="33" t="s">
        <v>103</v>
      </c>
      <c r="B342" s="41">
        <v>46296</v>
      </c>
      <c r="C342" s="41">
        <v>46297</v>
      </c>
      <c r="D342" s="41">
        <v>46357</v>
      </c>
      <c r="E342" s="49" t="s">
        <v>131</v>
      </c>
      <c r="F342" s="49" t="s">
        <v>6</v>
      </c>
      <c r="G342" s="50">
        <v>5</v>
      </c>
      <c r="H342" s="51" t="s">
        <v>132</v>
      </c>
      <c r="I342" s="32" t="s">
        <v>41</v>
      </c>
    </row>
    <row r="343" spans="1:9" x14ac:dyDescent="0.25">
      <c r="A343" s="33" t="s">
        <v>56</v>
      </c>
      <c r="B343" s="45">
        <v>46297</v>
      </c>
      <c r="C343" s="45">
        <v>46297</v>
      </c>
      <c r="D343" s="45">
        <v>46360</v>
      </c>
      <c r="E343" s="52" t="s">
        <v>62</v>
      </c>
      <c r="F343" s="52" t="s">
        <v>52</v>
      </c>
      <c r="G343" s="30">
        <v>3</v>
      </c>
      <c r="H343" s="53" t="s">
        <v>63</v>
      </c>
      <c r="I343" s="32" t="s">
        <v>34</v>
      </c>
    </row>
    <row r="344" spans="1:9" x14ac:dyDescent="0.25">
      <c r="A344" s="33" t="s">
        <v>326</v>
      </c>
      <c r="B344" s="41">
        <v>46295</v>
      </c>
      <c r="C344" s="41">
        <v>46297</v>
      </c>
      <c r="D344" s="41">
        <v>46295</v>
      </c>
      <c r="E344" s="49" t="s">
        <v>705</v>
      </c>
      <c r="F344" s="49" t="s">
        <v>6</v>
      </c>
      <c r="G344" s="50">
        <v>3</v>
      </c>
      <c r="H344" s="51" t="s">
        <v>706</v>
      </c>
      <c r="I344" s="32" t="s">
        <v>45</v>
      </c>
    </row>
    <row r="345" spans="1:9" x14ac:dyDescent="0.25">
      <c r="A345" s="33" t="s">
        <v>326</v>
      </c>
      <c r="B345" s="45">
        <v>46295</v>
      </c>
      <c r="C345" s="45">
        <v>46297</v>
      </c>
      <c r="D345" s="45">
        <v>46295</v>
      </c>
      <c r="E345" s="52" t="s">
        <v>707</v>
      </c>
      <c r="F345" s="52" t="s">
        <v>6</v>
      </c>
      <c r="G345" s="54">
        <v>5</v>
      </c>
      <c r="H345" s="53" t="s">
        <v>708</v>
      </c>
      <c r="I345" s="32" t="s">
        <v>45</v>
      </c>
    </row>
    <row r="346" spans="1:9" x14ac:dyDescent="0.25">
      <c r="A346" s="33" t="s">
        <v>326</v>
      </c>
      <c r="B346" s="41">
        <v>46295</v>
      </c>
      <c r="C346" s="41">
        <v>46297</v>
      </c>
      <c r="D346" s="41">
        <v>46295</v>
      </c>
      <c r="E346" s="49" t="s">
        <v>709</v>
      </c>
      <c r="F346" s="49" t="s">
        <v>6</v>
      </c>
      <c r="G346" s="50">
        <v>8</v>
      </c>
      <c r="H346" s="51" t="s">
        <v>710</v>
      </c>
      <c r="I346" s="32" t="s">
        <v>45</v>
      </c>
    </row>
    <row r="347" spans="1:9" x14ac:dyDescent="0.25">
      <c r="A347" s="33" t="s">
        <v>326</v>
      </c>
      <c r="B347" s="45">
        <v>46295</v>
      </c>
      <c r="C347" s="45">
        <v>46297</v>
      </c>
      <c r="D347" s="45">
        <v>46295</v>
      </c>
      <c r="E347" s="52" t="s">
        <v>711</v>
      </c>
      <c r="F347" s="52" t="s">
        <v>6</v>
      </c>
      <c r="G347" s="54">
        <v>6</v>
      </c>
      <c r="H347" s="53" t="s">
        <v>712</v>
      </c>
      <c r="I347" s="32" t="s">
        <v>45</v>
      </c>
    </row>
    <row r="348" spans="1:9" x14ac:dyDescent="0.25">
      <c r="A348" s="33" t="s">
        <v>326</v>
      </c>
      <c r="B348" s="41">
        <v>46295</v>
      </c>
      <c r="C348" s="41">
        <v>46297</v>
      </c>
      <c r="D348" s="41">
        <v>46295</v>
      </c>
      <c r="E348" s="49" t="s">
        <v>713</v>
      </c>
      <c r="F348" s="49" t="s">
        <v>6</v>
      </c>
      <c r="G348" s="50">
        <v>18</v>
      </c>
      <c r="H348" s="51" t="s">
        <v>714</v>
      </c>
      <c r="I348" s="32" t="s">
        <v>45</v>
      </c>
    </row>
    <row r="349" spans="1:9" ht="22.5" x14ac:dyDescent="0.25">
      <c r="A349" s="33" t="s">
        <v>76</v>
      </c>
      <c r="B349" s="45">
        <v>46300</v>
      </c>
      <c r="C349" s="45">
        <v>46300</v>
      </c>
      <c r="D349" s="45">
        <v>46360</v>
      </c>
      <c r="E349" s="52" t="s">
        <v>715</v>
      </c>
      <c r="F349" s="52" t="s">
        <v>6</v>
      </c>
      <c r="G349" s="54">
        <v>1</v>
      </c>
      <c r="H349" s="53" t="s">
        <v>579</v>
      </c>
      <c r="I349" s="32" t="s">
        <v>45</v>
      </c>
    </row>
    <row r="350" spans="1:9" ht="22.5" x14ac:dyDescent="0.25">
      <c r="A350" s="33" t="s">
        <v>76</v>
      </c>
      <c r="B350" s="41">
        <v>46300</v>
      </c>
      <c r="C350" s="41">
        <v>46300</v>
      </c>
      <c r="D350" s="41">
        <v>46360</v>
      </c>
      <c r="E350" s="49" t="s">
        <v>715</v>
      </c>
      <c r="F350" s="49" t="s">
        <v>6</v>
      </c>
      <c r="G350" s="50">
        <v>2</v>
      </c>
      <c r="H350" s="51" t="s">
        <v>581</v>
      </c>
      <c r="I350" s="32" t="s">
        <v>45</v>
      </c>
    </row>
    <row r="351" spans="1:9" ht="22.5" x14ac:dyDescent="0.25">
      <c r="A351" s="33" t="s">
        <v>5</v>
      </c>
      <c r="B351" s="41">
        <v>46300</v>
      </c>
      <c r="C351" s="41">
        <v>46300</v>
      </c>
      <c r="D351" s="41">
        <v>46360</v>
      </c>
      <c r="E351" s="49" t="s">
        <v>716</v>
      </c>
      <c r="F351" s="49" t="s">
        <v>6</v>
      </c>
      <c r="G351" s="50">
        <v>1</v>
      </c>
      <c r="H351" s="51" t="s">
        <v>586</v>
      </c>
      <c r="I351" s="32" t="s">
        <v>45</v>
      </c>
    </row>
    <row r="352" spans="1:9" ht="22.5" x14ac:dyDescent="0.25">
      <c r="A352" s="33" t="s">
        <v>5</v>
      </c>
      <c r="B352" s="45">
        <v>46300</v>
      </c>
      <c r="C352" s="45">
        <v>46300</v>
      </c>
      <c r="D352" s="45">
        <v>46360</v>
      </c>
      <c r="E352" s="52" t="s">
        <v>717</v>
      </c>
      <c r="F352" s="52" t="s">
        <v>6</v>
      </c>
      <c r="G352" s="54">
        <v>1</v>
      </c>
      <c r="H352" s="53" t="s">
        <v>584</v>
      </c>
      <c r="I352" s="32" t="s">
        <v>45</v>
      </c>
    </row>
    <row r="353" spans="1:9" ht="22.5" x14ac:dyDescent="0.25">
      <c r="A353" s="33" t="s">
        <v>207</v>
      </c>
      <c r="B353" s="41">
        <v>46300</v>
      </c>
      <c r="C353" s="41">
        <v>46300</v>
      </c>
      <c r="D353" s="41">
        <v>46360</v>
      </c>
      <c r="E353" s="49" t="s">
        <v>715</v>
      </c>
      <c r="F353" s="49" t="s">
        <v>6</v>
      </c>
      <c r="G353" s="50">
        <v>1</v>
      </c>
      <c r="H353" s="51" t="s">
        <v>603</v>
      </c>
      <c r="I353" s="32" t="s">
        <v>45</v>
      </c>
    </row>
    <row r="354" spans="1:9" x14ac:dyDescent="0.25">
      <c r="A354" s="33" t="s">
        <v>189</v>
      </c>
      <c r="B354" s="41">
        <v>46300</v>
      </c>
      <c r="C354" s="41">
        <v>46300</v>
      </c>
      <c r="D354" s="41">
        <v>46360</v>
      </c>
      <c r="E354" s="49" t="s">
        <v>718</v>
      </c>
      <c r="F354" s="49" t="s">
        <v>6</v>
      </c>
      <c r="G354" s="50">
        <v>130</v>
      </c>
      <c r="H354" s="51" t="s">
        <v>719</v>
      </c>
      <c r="I354" s="32" t="s">
        <v>46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I3:I354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721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b749e3-8208-459a-bfc0-9b428d09cbab">
      <Terms xmlns="http://schemas.microsoft.com/office/infopath/2007/PartnerControls"/>
    </lcf76f155ced4ddcb4097134ff3c332f>
    <TaxCatchAll xmlns="9ac7e9dd-8d2d-4750-b54a-f534515ac3a2" xsi:nil="true"/>
  </documentManagement>
</p:properties>
</file>

<file path=customXml/itemProps1.xml><?xml version="1.0" encoding="utf-8"?>
<ds:datastoreItem xmlns:ds="http://schemas.openxmlformats.org/officeDocument/2006/customXml" ds:itemID="{A98A5496-6405-46D2-AEE4-9AE3F9C211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08BBD4-1E66-4167-890F-91293CA5CD7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D6C677-D447-4EFB-8A81-433F3B9E70FF}">
  <ds:schemaRefs>
    <ds:schemaRef ds:uri="http://schemas.microsoft.com/office/2006/documentManagement/types"/>
    <ds:schemaRef ds:uri="http://www.w3.org/XML/1998/namespace"/>
    <ds:schemaRef ds:uri="82b749e3-8208-459a-bfc0-9b428d09cbab"/>
    <ds:schemaRef ds:uri="http://purl.org/dc/terms/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9ac7e9dd-8d2d-4750-b54a-f534515ac3a2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2026-10-06T19:09:14Z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