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A9014203-69F7-4E88-8A79-FCA9B2FA3C97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<sst xmlns="http://schemas.openxmlformats.org/spreadsheetml/2006/main" count="2271" uniqueCount="826">
  <si>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</si>
  <si>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</si>
  <si>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</si>
  <si>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</si>
  <si>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</si>
  <si>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</si>
  <si>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</si>
  <si>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</si>
  <si>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</si>
  <si>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</si>
  <si>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</si>
  <si>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</si>
  <si>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</si>
  <si>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</si>
  <si>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</si>
  <si>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</si>
  <si>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</si>
  <si>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</si>
  <si>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</si>
  <si>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</si>
  <si>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</si>
  <si>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</si>
  <si>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</si>
  <si>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</si>
  <si>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</si>
  <si>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</si>
  <si>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</si>
  <si>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</si>
  <si>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</si>
  <si>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</si>
  <si>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</si>
  <si>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</si>
  <si>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</si>
  <si>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</si>
  <si>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</si>
  <si>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</si>
  <si>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</si>
  <si>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</si>
  <si>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</si>
  <si>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</si>
  <si>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</si>
  <si>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</si>
  <si>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</si>
  <si>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</si>
  <si>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</si>
  <si>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</si>
  <si>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</si>
  <si>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</si>
  <si>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</si>
  <si>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</si>
  <si>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</si>
  <si>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</si>
  <si>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</si>
  <si>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</si>
  <si>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</si>
  <si>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</si>
  <si>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</si>
  <si>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</si>
  <si>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</si>
  <si>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</si>
  <si>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</si>
  <si>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</si>
  <si>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</si>
  <si>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</si>
  <si>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</si>
  <si>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</si>
  <si>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</si>
  <si>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</si>
  <si>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</si>
  <si>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</si>
  <si>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</si>
  <si>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</si>
  <si>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</si>
  <si>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</si>
  <si>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</si>
  <si>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</si>
  <si>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</si>
  <si>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</si>
  <si>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</si>
  <si>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</si>
  <si>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</si>
  <si>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</si>
  <si>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</si>
  <si>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</si>
  <si>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</si>
  <si>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</si>
  <si>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</si>
  <si>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</si>
  <si>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</si>
  <si>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</si>
  <si>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</si>
  <si>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</si>
  <si>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</si>
  <si>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</si>
  <si>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</si>
  <si>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</si>
  <si>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</si>
  <si>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</si>
  <si>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</si>
  <si>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</si>
  <si>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</si>
  <si>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</si>
  <si>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</si>
  <si>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</si>
  <si>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</si>
  <si>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</si>
  <si>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</si>
  <si>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</si>
  <si>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</si>
  <si>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</si>
  <si>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</si>
  <si>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</si>
  <si>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</si>
  <si>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</si>
  <si>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</si>
  <si>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</si>
  <si>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</si>
  <si>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</si>
  <si>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</si>
  <si>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</si>
  <si>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</si>
  <si>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</si>
  <si>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</si>
  <si>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</si>
  <si>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</si>
  <si>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</si>
  <si>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</si>
  <si>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</si>
  <si>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</si>
  <si>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</si>
  <si>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</si>
  <si>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</si>
  <si>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</si>
  <si>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</si>
  <si>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</si>
  <si>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</si>
  <si>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</si>
  <si>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</si>
  <si>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</si>
  <si>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</si>
  <si>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</si>
  <si>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</si>
  <si>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</si>
  <si>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</si>
  <si>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</si>
  <si>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</si>
  <si>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</si>
  <si>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</si>
  <si>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</si>
  <si>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</si>
  <si>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</si>
  <si>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</si>
  <si>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</si>
  <si>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</si>
  <si>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</si>
  <si>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</si>
  <si>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</si>
  <si>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</si>
  <si>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</si>
  <si>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</si>
  <si>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</si>
  <si>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</si>
  <si>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</si>
  <si>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</si>
  <si>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</si>
  <si>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</si>
  <si>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</si>
  <si>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</si>
  <si>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</si>
  <si>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</si>
  <si>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</si>
  <si>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</si>
  <si>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</si>
  <si>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</si>
  <si>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</si>
  <si>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</si>
  <si>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</si>
  <si>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</si>
  <si>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</si>
  <si>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</si>
  <si>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</si>
  <si>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</si>
  <si>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</si>
  <si>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</si>
  <si>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</si>
  <si>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</si>
  <si>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</si>
  <si>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</si>
  <si>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</si>
  <si>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</si>
  <si>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</si>
  <si>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</si>
  <si>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</si>
  <si>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</si>
  <si>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</si>
  <si>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</si>
  <si>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</si>
  <si>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</si>
  <si>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</si>
  <si>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</si>
  <si>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</si>
  <si>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</si>
  <si>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</si>
  <si>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</si>
  <si>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</si>
  <si>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</si>
  <si>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</si>
  <si>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</si>
  <si>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</si>
  <si>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</si>
  <si>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</si>
  <si>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</si>
  <si>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</si>
  <si>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</si>
  <si>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</si>
  <si>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</si>
  <si>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</si>
  <si>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</si>
  <si>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</si>
  <si>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</si>
  <si>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</si>
  <si>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</si>
  <si>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</si>
  <si>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</si>
  <si>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</si>
  <si>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</si>
  <si>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</si>
  <si>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</si>
  <si>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</si>
  <si>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</si>
  <si>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</si>
  <si>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</si>
  <si>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</si>
  <si>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</si>
  <si>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</si>
  <si>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</si>
  <si>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</si>
  <si>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</si>
  <si>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</si>
  <si>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</si>
  <si>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</si>
  <si>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</si>
  <si>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</si>
  <si>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</si>
  <si>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</si>
  <si>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</si>
  <si>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</si>
  <si>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</si>
  <si>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</si>
  <si>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</si>
  <si>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</si>
  <si>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</si>
  <si>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</si>
  <si>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</si>
  <si>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</si>
  <si>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</si>
  <si>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</si>
  <si>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</si>
  <si>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</si>
  <si>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</si>
  <si>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</si>
  <si>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</si>
  <si>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</si>
  <si>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</si>
  <si>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</si>
  <si>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</si>
  <si>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</si>
  <si>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</si>
  <si>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</si>
  <si>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</si>
  <si>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</si>
  <si>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</si>
  <si>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</si>
  <si>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</si>
  <si>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</si>
  <si>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</si>
  <si>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</si>
  <si>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</si>
  <si>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</si>
  <si>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</si>
  <si>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</si>
  <si>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</si>
  <si>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</si>
  <si>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</si>
  <si>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</si>
  <si>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</si>
  <si>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</si>
  <si>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</si>
  <si>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</si>
  <si>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</si>
  <si>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</si>
  <si>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</si>
  <si>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</si>
  <si>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</si>
  <si>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</si>
  <si>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</si>
  <si>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</si>
  <si>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</si>
  <si>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</si>
  <si>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</si>
  <si>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</si>
  <si>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</si>
  <si>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</si>
  <si>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</si>
  <si>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</si>
  <si>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</si>
  <si>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</si>
  <si>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</si>
  <si>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</si>
  <si>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</si>
  <si>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</si>
  <si>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</si>
  <si>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</si>
  <si>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</si>
  <si>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</si>
  <si>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</si>
  <si>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</si>
  <si>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</si>
  <si>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</si>
  <si>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</si>
  <si>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</si>
  <si>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</si>
  <si>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</si>
  <si>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</si>
  <si>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</si>
  <si>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</si>
  <si>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</si>
  <si>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</si>
  <si>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</si>
  <si>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</si>
  <si>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</si>
  <si>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</si>
  <si>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</si>
  <si>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</si>
  <si>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</si>
  <si>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</si>
  <si>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</si>
  <si>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</si>
  <si>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</si>
  <si>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</si>
  <si>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</si>
  <si>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</si>
  <si>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</si>
  <si>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</si>
  <si>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</si>
  <si>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</si>
  <si>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</si>
  <si>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</si>
  <si>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</si>
  <si>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</si>
  <si>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</si>
  <si>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</si>
  <si>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</si>
  <si>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</si>
  <si>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</si>
  <si>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</si>
  <si>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</si>
  <si>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</si>
  <si>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</si>
  <si>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</si>
  <si>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</si>
  <si>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</si>
  <si>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</si>
  <si>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</si>
  <si>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</si>
  <si>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</si>
  <si>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</si>
  <si>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</si>
  <si>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</si>
  <si>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</si>
  <si>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</si>
  <si>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</si>
  <si>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</si>
  <si>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</si>
  <si>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</si>
  <si>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</si>
  <si>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</si>
  <si>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</si>
  <si>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</si>
  <si>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</si>
  <si>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</si>
  <si>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</si>
  <si>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</si>
  <si>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</si>
  <si>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</si>
  <si>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</si>
  <si>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</si>
  <si>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</si>
  <si>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</si>
  <si>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</si>
  <si>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</si>
  <si>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</si>
  <si>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</si>
  <si>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</si>
  <si>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</si>
  <si>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</si>
  <si>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</si>
  <si>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</si>
  <si>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</si>
  <si>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</si>
  <si>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</si>
  <si>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</si>
  <si>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</si>
  <si>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</si>
  <si>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</si>
  <si>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</si>
  <si>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</si>
  <si>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</si>
  <si>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</si>
  <si>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</si>
  <si>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</si>
  <si>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</si>
  <si>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</si>
  <si>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</si>
  <si>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</si>
  <si>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</si>
  <si>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</si>
  <si>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</si>
  <si>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</si>
  <si>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</si>
  <si>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</si>
  <si>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</si>
  <si>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</si>
  <si>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</si>
  <si>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</si>
  <si>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</si>
  <si>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</si>
  <si>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</si>
  <si>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</si>
  <si>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</si>
  <si>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</si>
  <si>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</si>
  <si>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</si>
  <si>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</si>
  <si>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</si>
  <si>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</si>
  <si>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</si>
  <si>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</si>
  <si>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</si>
  <si>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</si>
  <si>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</si>
  <si>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</si>
  <si>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</si>
  <si>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</si>
  <si>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</si>
  <si>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</si>
  <si>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</si>
  <si>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</si>
  <si>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</si>
  <si>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</si>
  <si>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</si>
  <si>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</si>
  <si>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</si>
  <si>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</si>
  <si>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</si>
  <si>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</si>
  <si>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</si>
  <si>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</si>
  <si>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</si>
  <si>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</si>
  <si>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</si>
  <si>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</si>
  <si>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</si>
  <si>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</si>
  <si>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</si>
  <si>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</si>
  <si>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</si>
  <si>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</si>
  <si>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</si>
  <si>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</si>
  <si>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</si>
  <si>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</si>
  <si>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</si>
  <si>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</si>
  <si>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</si>
  <si>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</si>
  <si>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</si>
  <si>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</si>
  <si>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</si>
  <si>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</si>
  <si>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</si>
  <si>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</si>
  <si>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</si>
  <si>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</si>
  <si>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</si>
  <si>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</si>
  <si>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</si>
  <si>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</si>
  <si>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</si>
  <si>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</si>
  <si>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</si>
  <si>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</si>
  <si>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</si>
  <si>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</si>
  <si>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</si>
  <si>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</si>
  <si>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</si>
  <si>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</si>
  <si>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</si>
  <si>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</si>
  <si>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</si>
  <si>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</si>
  <si>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</si>
  <si>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</si>
  <si>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</si>
  <si>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</si>
  <si>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</si>
  <si>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</si>
  <si>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</si>
  <si>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</si>
  <si>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</si>
  <si>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</si>
  <si>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</si>
  <si>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</si>
  <si>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</si>
  <si>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</si>
  <si>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</si>
  <si>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</si>
  <si>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</si>
  <si>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</si>
  <si>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</si>
  <si>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</si>
  <si>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</si>
  <si>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</si>
  <si>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</si>
  <si>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</si>
  <si>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</si>
  <si>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</si>
  <si>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</si>
  <si>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</si>
  <si>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</si>
  <si>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</si>
  <si>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</si>
  <si>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</si>
  <si>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</si>
  <si>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</si>
  <si>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</si>
  <si>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</si>
  <si>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</si>
  <si>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</si>
  <si>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</si>
  <si>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</si>
  <si>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</si>
  <si>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</si>
  <si>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</si>
  <si>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</si>
  <si>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</si>
  <si>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</si>
  <si>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</si>
  <si>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</si>
  <si>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</si>
  <si>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</si>
  <si>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</si>
  <si>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</si>
  <si>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</si>
  <si>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</si>
  <si>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</si>
  <si>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</si>
  <si>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</si>
  <si>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</si>
  <si>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</si>
  <si>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</si>
  <si>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</si>
  <si>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</si>
  <si>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</si>
  <si>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</si>
  <si>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</si>
  <si>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</si>
  <si>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</si>
  <si>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</si>
  <si>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</si>
  <si>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</si>
  <si>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</si>
  <si>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</si>
  <si>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</si>
  <si>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</si>
  <si>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</si>
  <si>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</si>
  <si>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</si>
  <si>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</si>
  <si>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</si>
  <si>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</si>
  <si>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</si>
  <si>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</si>
  <si>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</si>
  <si>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</si>
  <si>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</si>
  <si>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</si>
  <si>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</si>
  <si>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</si>
  <si>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</si>
  <si>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</si>
  <si>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</si>
  <si>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</si>
  <si>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</si>
  <si>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</si>
  <si>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</si>
  <si>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</si>
  <si>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</si>
  <si>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</si>
  <si>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</si>
  <si>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</si>
  <si>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</si>
  <si>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</si>
  <si>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</si>
  <si>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</si>
  <si>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</si>
  <si>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</si>
  <si>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</si>
  <si>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</si>
  <si>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</si>
  <si>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</si>
  <si>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</si>
  <si>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</si>
  <si>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</si>
  <si>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</si>
  <si>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</si>
  <si>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</si>
  <si>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</si>
  <si>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</si>
  <si>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</si>
  <si>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</si>
  <si>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</si>
  <si>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</si>
  <si>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</si>
  <si>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</si>
  <si>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</si>
  <si>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</si>
  <si>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</si>
  <si>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</si>
  <si>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</si>
  <si>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</si>
  <si>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</si>
  <si>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</si>
  <si>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</si>
  <si>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</si>
  <si>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</si>
  <si>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</si>
  <si>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</si>
  <si>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</si>
  <si>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</si>
  <si>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</si>
  <si>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</si>
  <si>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</si>
  <si>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</si>
  <si>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</si>
  <si>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</si>
  <si>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</si>
  <si>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</si>
  <si>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</si>
  <si>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</si>
  <si>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</si>
  <si>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</si>
  <si>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</si>
  <si>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</si>
  <si>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</si>
  <si>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</si>
  <si>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</si>
  <si>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</si>
  <si>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</si>
  <si>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</si>
  <si>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</si>
  <si>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</si>
  <si>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</si>
  <si>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</si>
  <si>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</si>
  <si>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</si>
  <si>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</si>
  <si>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</si>
  <si>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</si>
  <si>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</si>
  <si>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</si>
  <si>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</si>
  <si>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</si>
  <si>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</si>
  <si>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</si>
  <si>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</si>
  <si>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</si>
  <si>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</si>
  <si>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</si>
  <si>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</si>
  <si>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</si>
  <si>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</si>
  <si>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</si>
  <si>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</si>
  <si>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</si>
  <si>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</si>
  <si>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</si>
  <si>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</si>
  <si>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</si>
  <si>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</si>
  <si>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</si>
  <si>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</si>
  <si>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</si>
  <si>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</si>
  <si>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</si>
  <si>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</si>
  <si>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</si>
  <si>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</si>
  <si>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</si>
  <si>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</si>
  <si>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</si>
  <si>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</si>
  <si>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</si>
  <si>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</si>
  <si>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</si>
  <si>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</si>
  <si>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</si>
  <si>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</si>
  <si>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</si>
  <si>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</si>
  <si>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</si>
  <si>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</si>
  <si>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</si>
  <si>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</si>
  <si>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</si>
  <si>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</si>
  <si>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</si>
  <si>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</si>
  <si>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</si>
  <si>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</si>
  <si>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</si>
  <si>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</si>
  <si>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</si>
  <si>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</si>
  <si>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</si>
  <si>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</si>
  <si>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</si>
  <si>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</si>
  <si>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</si>
  <si>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</si>
  <si>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</si>
  <si>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</si>
  <si>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</si>
  <si>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</si>
  <si>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</si>
  <si>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</si>
  <si>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</si>
  <si>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</si>
  <si>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</si>
  <si>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</si>
  <si>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</si>
  <si>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</si>
  <si>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</si>
  <si>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</si>
  <si>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</si>
  <si>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</si>
  <si>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</si>
  <si>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</si>
  <si>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</si>
  <si>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</si>
  <si>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</si>
  <si>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</si>
  <si>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</si>
  <si>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</si>
  <si>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</si>
  <si>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</si>
  <si>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</si>
  <si>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</si>
  <si>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</si>
  <si>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</si>
  <si>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</si>
  <si>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</si>
  <si>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</si>
  <si>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</si>
  <si>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</si>
  <si>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</si>
  <si>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</si>
  <si>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</si>
  <si>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</si>
  <si>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</si>
  <si>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</si>
  <si>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</si>
  <si>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</si>
  <si>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</si>
  <si>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</si>
  <si>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</si>
  <si>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</si>
  <si>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</si>
  <si>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</si>
  <si>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</si>
  <si>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</si>
  <si>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</si>
  <si>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</si>
  <si>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</si>
  <si>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</si>
  <si>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</si>
  <si>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</si>
  <si>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</si>
  <si>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</si>
  <si>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</si>
  <si>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</si>
  <si>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</si>
  <si>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</si>
  <si>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</si>
  <si>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</si>
  <si>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</si>
  <si>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</si>
  <si>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</si>
  <si>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</si>
  <si>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</si>
  <si>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</si>
  <si>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</si>
  <si>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</si>
  <si>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</si>
  <si>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</si>
  <si>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</si>
  <si>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</si>
  <si>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</si>
  <si>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</si>
  <si>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</si>
  <si>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</si>
  <si>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</si>
  <si>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</si>
  <si>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</si>
  <si>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</si>
  <si>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</si>
  <si>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</si>
  <si>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</si>
  <si>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</si>
  <si>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</si>
  <si>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</si>
  <si>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</si>
  <si>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</si>
  <si>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</si>
  <si>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r>
      <t xml:space="preserve">WARN REPORT - </t>
    </r>
    <r>
      <rPr>
        <b/>
        <sz val="12"/>
        <rFont val="Calibri"/>
        <family val="2"/>
        <scheme val="minor"/>
      </rPr>
      <t>07/01/23 to 11/29/23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H564.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</si>
</sst>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564" totalsRowShown="0" headerRowDxfId="11" headerRowBorderDxfId="10" tableBorderDxfId="9" totalsRowBorderDxfId="8">
  <autoFilter ref="A2:H56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32308</v>
      </c>
    </row>
    <row r="4" spans="1:2" x14ac:dyDescent="0.3">
      <c r="A4" s="2" t="s">
        <v>21</v>
      </c>
      <c r="B4" s="5">
        <f>COUNTIF('Detailed WARN Report '!F:F,"Layoff Permanent")</f>
        <v>361</v>
      </c>
    </row>
    <row r="5" spans="1:2" x14ac:dyDescent="0.3">
      <c r="A5" s="2" t="s">
        <v>22</v>
      </c>
      <c r="B5" s="5">
        <f>COUNTIF('Detailed WARN Report '!F:F,"Layoff Temporary")</f>
        <v>16</v>
      </c>
    </row>
    <row r="6" spans="1:2" x14ac:dyDescent="0.3">
      <c r="A6" s="2" t="s">
        <v>23</v>
      </c>
      <c r="B6" s="5">
        <f>COUNTIF('Detailed WARN Report '!F:F,"Layoff Not Identified")</f>
        <v>0</v>
      </c>
    </row>
    <row r="7" spans="1:2" x14ac:dyDescent="0.3">
      <c r="A7" s="2" t="s">
        <v>24</v>
      </c>
      <c r="B7" s="5">
        <f>COUNTIF('Detailed WARN Report '!F:F,"Closure Permanent")</f>
        <v>173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564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1" bestFit="1" customWidth="1"/>
    <col min="6" max="6" width="14.33203125" bestFit="1" customWidth="1"/>
    <col min="7" max="7" width="9.88671875" bestFit="1" customWidth="1"/>
    <col min="8" max="8" width="58.88671875" bestFit="1" customWidth="1"/>
  </cols>
  <sheetData>
    <row r="1" spans="1:8" ht="99.6" x14ac:dyDescent="0.3">
      <c r="A1" s="7" t="s">
        <v>825</v>
      </c>
      <c r="D1" s="6"/>
      <c r="E1" s="6"/>
      <c r="F1" s="6"/>
      <c r="G1" s="6"/>
      <c r="H1" s="6"/>
    </row>
    <row r="2" spans="1:8" ht="28.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45198</v>
      </c>
      <c r="E332" s="19" t="s">
        <v>499</v>
      </c>
      <c r="F332" s="19" t="s">
        <v>16</v>
      </c>
      <c r="G332" s="20">
        <v>259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45257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3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3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3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3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3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3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3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3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3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3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3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3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3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3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3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ht="13.5" customHeight="1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3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3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3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3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3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3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7F3F67B-1AC3-4EBA-A159-3ABD22C40C37}"/>
</file>

<file path=customXml/itemProps2.xml><?xml version="1.0" encoding="utf-8"?>
<ds:datastoreItem xmlns:ds="http://schemas.openxmlformats.org/officeDocument/2006/customXml" ds:itemID="{F883A3B5-A1C5-4A52-9EC4-BEE926CAA65B}"/>
</file>

<file path=customXml/itemProps3.xml><?xml version="1.0" encoding="utf-8"?>
<ds:datastoreItem xmlns:ds="http://schemas.openxmlformats.org/officeDocument/2006/customXml" ds:itemID="{75774455-C0FB-438C-BE4F-E3AE10870C5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2023-11-30T17:10:07Z</dcterms:modified>
  <cp:category>Calculating WARN Report</cp:category>
</cp:coreProperties>
</file>