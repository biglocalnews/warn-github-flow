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E823B74A-78A7-4E69-AAEE-0422C5DA0A91}" xr6:coauthVersionLast="47" xr6:coauthVersionMax="47" xr10:uidLastSave="{00000000-0000-0000-0000-000000000000}"/>
  <bookViews>
    <workbookView xWindow="-28920" yWindow="-45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<sst xmlns="http://schemas.openxmlformats.org/spreadsheetml/2006/main" count="1586" uniqueCount="639">
  <si>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</si>
  <si>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</si>
  <si>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</si>
  <si>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</si>
  <si>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</si>
  <si>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</si>
  <si>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</si>
  <si>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</si>
  <si>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</si>
  <si>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</si>
  <si>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</si>
  <si>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</si>
  <si>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</si>
  <si>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</si>
  <si>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</si>
  <si>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</si>
  <si>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</si>
  <si>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</si>
  <si>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</si>
  <si>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</si>
  <si>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</si>
  <si>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</si>
  <si>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</si>
  <si>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</si>
  <si>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</si>
  <si>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</si>
  <si>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</si>
  <si>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</si>
  <si>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</si>
  <si>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</si>
  <si>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</si>
  <si>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</si>
  <si>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</si>
  <si>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</si>
  <si>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</si>
  <si>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</si>
  <si>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</si>
  <si>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</si>
  <si>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</si>
  <si>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</si>
  <si>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</si>
  <si>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</si>
  <si>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</si>
  <si>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</si>
  <si>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</si>
  <si>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</si>
  <si>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</si>
  <si>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</si>
  <si>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</si>
  <si>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</si>
  <si>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</si>
  <si>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</si>
  <si>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</si>
  <si>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</si>
  <si>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</si>
  <si>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</si>
  <si>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</si>
  <si>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</si>
  <si>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</si>
  <si>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</si>
  <si>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</si>
  <si>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</si>
  <si>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</si>
  <si>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</si>
  <si>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</si>
  <si>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</si>
  <si>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</si>
  <si>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</si>
  <si>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</si>
  <si>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</si>
  <si>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</si>
  <si>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</si>
  <si>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</si>
  <si>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</si>
  <si>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</si>
  <si>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</si>
  <si>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</si>
  <si>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</si>
  <si>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</si>
  <si>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</si>
  <si>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</si>
  <si>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</si>
  <si>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</si>
  <si>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</si>
  <si>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</si>
  <si>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</si>
  <si>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</si>
  <si>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</si>
  <si>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</si>
  <si>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</si>
  <si>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</si>
  <si>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</si>
  <si>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</si>
  <si>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</si>
  <si>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</si>
  <si>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</si>
  <si>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</si>
  <si>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</si>
  <si>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</si>
  <si>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</si>
  <si>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</si>
  <si>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</si>
  <si>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</si>
  <si>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</si>
  <si>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</si>
  <si>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</si>
  <si>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</si>
  <si>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</si>
  <si>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</si>
  <si>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</si>
  <si>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</si>
  <si>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</si>
  <si>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</si>
  <si>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</si>
  <si>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</si>
  <si>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</si>
  <si>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</si>
  <si>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</si>
  <si>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</si>
  <si>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</si>
  <si>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</si>
  <si>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</si>
  <si>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</si>
  <si>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</si>
  <si>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</si>
  <si>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</si>
  <si>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</si>
  <si>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</si>
  <si>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</si>
  <si>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</si>
  <si>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</si>
  <si>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</si>
  <si>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</si>
  <si>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</si>
  <si>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</si>
  <si>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</si>
  <si>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</si>
  <si>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</si>
  <si>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</si>
  <si>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</si>
  <si>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</si>
  <si>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</si>
  <si>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</si>
  <si>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</si>
  <si>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</si>
  <si>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</si>
  <si>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</si>
  <si>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</si>
  <si>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</si>
  <si>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</si>
  <si>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</si>
  <si>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</si>
  <si>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</si>
  <si>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</si>
  <si>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</si>
  <si>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</si>
  <si>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</si>
  <si>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</si>
  <si>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</si>
  <si>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</si>
  <si>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</si>
  <si>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</si>
  <si>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</si>
  <si>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</si>
  <si>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</si>
  <si>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</si>
  <si>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</si>
  <si>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</si>
  <si>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</si>
  <si>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</si>
  <si>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</si>
  <si>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</si>
  <si>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</si>
  <si>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</si>
  <si>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</si>
  <si>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</si>
  <si>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</si>
  <si>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</si>
  <si>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</si>
  <si>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</si>
  <si>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</si>
  <si>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</si>
  <si>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</si>
  <si>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</si>
  <si>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</si>
  <si>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</si>
  <si>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</si>
  <si>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</si>
  <si>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</si>
  <si>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</si>
  <si>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</si>
  <si>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</si>
  <si>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</si>
  <si>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</si>
  <si>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</si>
  <si>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</si>
  <si>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</si>
  <si>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</si>
  <si>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</si>
  <si>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</si>
  <si>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</si>
  <si>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</si>
  <si>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</si>
  <si>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</si>
  <si>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</si>
  <si>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</si>
  <si>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</si>
  <si>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</si>
  <si>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</si>
  <si>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</si>
  <si>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</si>
  <si>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</si>
  <si>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</si>
  <si>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</si>
  <si>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</si>
  <si>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</si>
  <si>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</si>
  <si>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</si>
  <si>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</si>
  <si>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</si>
  <si>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</si>
  <si>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</si>
  <si>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</si>
  <si>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</si>
  <si>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</si>
  <si>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</si>
  <si>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</si>
  <si>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</si>
  <si>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</si>
  <si>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</si>
  <si>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</si>
  <si>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</si>
  <si>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</si>
  <si>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</si>
  <si>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</si>
  <si>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</si>
  <si>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</si>
  <si>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</si>
  <si>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</si>
  <si>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</si>
  <si>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</si>
  <si>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</si>
  <si>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</si>
  <si>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</si>
  <si>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</si>
  <si>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</si>
  <si>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</si>
  <si>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</si>
  <si>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</si>
  <si>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</si>
  <si>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</si>
  <si>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</si>
  <si>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</si>
  <si>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</si>
  <si>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</si>
  <si>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</si>
  <si>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</si>
  <si>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</si>
  <si>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</si>
  <si>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</si>
  <si>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</si>
  <si>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</si>
  <si>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</si>
  <si>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</si>
  <si>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</si>
  <si>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</si>
  <si>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</si>
  <si>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</si>
  <si>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</si>
  <si>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</si>
  <si>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</si>
  <si>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</si>
  <si>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</si>
  <si>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</si>
  <si>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</si>
  <si>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</si>
  <si>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</si>
  <si>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</si>
  <si>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</si>
  <si>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</si>
  <si>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</si>
  <si>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</si>
  <si>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</si>
  <si>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</si>
  <si>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</si>
  <si>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</si>
  <si>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</si>
  <si>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</si>
  <si>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</si>
  <si>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</si>
  <si>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</si>
  <si>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</si>
  <si>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</si>
  <si>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</si>
  <si>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</si>
  <si>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</si>
  <si>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</si>
  <si>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</si>
  <si>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</si>
  <si>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</si>
  <si>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</si>
  <si>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</si>
  <si>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</si>
  <si>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</si>
  <si>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</si>
  <si>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</si>
  <si>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</si>
  <si>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</si>
  <si>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</si>
  <si>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</si>
  <si>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</si>
  <si>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</si>
  <si>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</si>
  <si>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</si>
  <si>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</si>
  <si>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</si>
  <si>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</si>
  <si>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</si>
  <si>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</si>
  <si>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</si>
  <si>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</si>
  <si>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</si>
  <si>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</si>
  <si>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</si>
  <si>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</si>
  <si>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</si>
  <si>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</si>
  <si>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</si>
  <si>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</si>
  <si>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</si>
  <si>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</si>
  <si>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</si>
  <si>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</si>
  <si>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</si>
  <si>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</si>
  <si>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</si>
  <si>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</si>
  <si>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</si>
  <si>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</si>
  <si>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</si>
  <si>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</si>
  <si>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</si>
  <si>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</si>
  <si>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</si>
  <si>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</si>
  <si>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</si>
  <si>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</si>
  <si>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</si>
  <si>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</si>
  <si>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</si>
  <si>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</si>
  <si>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</si>
  <si>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</si>
  <si>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</si>
  <si>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</si>
  <si>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</si>
  <si>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</si>
  <si>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</si>
  <si>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</si>
  <si>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</si>
  <si>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</si>
  <si>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</si>
  <si>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</si>
  <si>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</si>
  <si>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</si>
  <si>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</si>
  <si>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</si>
  <si>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</si>
  <si>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</si>
  <si>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</si>
  <si>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</si>
  <si>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</si>
  <si>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</si>
  <si>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</si>
  <si>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</si>
  <si>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</si>
  <si>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</si>
  <si>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</si>
  <si>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</si>
  <si>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</si>
  <si>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</si>
  <si>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</si>
  <si>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</si>
  <si>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</si>
  <si>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</si>
  <si>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</si>
  <si>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</si>
  <si>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</si>
  <si>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</si>
  <si>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</si>
  <si>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</si>
  <si>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</si>
  <si>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</si>
  <si>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</si>
  <si>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</si>
  <si>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</si>
  <si>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</si>
  <si>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</si>
  <si>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</si>
  <si>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</si>
  <si>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</si>
  <si>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</si>
  <si>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</si>
  <si>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</si>
  <si>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</si>
  <si>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</si>
  <si>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</si>
  <si>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</si>
  <si>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</si>
  <si>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</si>
  <si>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</si>
  <si>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</si>
  <si>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</si>
  <si>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</si>
  <si>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</si>
  <si>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</si>
  <si>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</si>
  <si>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</si>
  <si>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</si>
  <si>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t>Renewal by Andersen LLC</t>
  </si>
  <si>
    <t>18700 Crenshaw Blvd  Torrance CA 90504</t>
  </si>
  <si>
    <t>PayPal</t>
  </si>
  <si>
    <t>2211 N. First Street  San Jose CA 95131</t>
  </si>
  <si>
    <t>22982 Alcalde Drive, Suite 100  Laguna Hills CA 92653</t>
  </si>
  <si>
    <t>Clarmil Manufacturing Corporation</t>
  </si>
  <si>
    <t>30865 San Clemente Street  Hayward CA 94544</t>
  </si>
  <si>
    <t>Arsenal Biosciences, Inc.</t>
  </si>
  <si>
    <t>329 Oyster Point Blvd  South San Francisco CA 94080</t>
  </si>
  <si>
    <t>654 N Harington Dr.  Orange CA 92868</t>
  </si>
  <si>
    <t>Foundation for California Community Colleges</t>
  </si>
  <si>
    <t>1102 Q Street, Suite 4800  Sacramento CA 95811</t>
  </si>
  <si>
    <t>San Luis Obispo County</t>
  </si>
  <si>
    <t>Ventana Grill</t>
  </si>
  <si>
    <t>2575 Price Street  Pismo Beach CA 93449</t>
  </si>
  <si>
    <t>OVG Hospitality</t>
  </si>
  <si>
    <t>10 W. Harbor Boulevard  Ventura CA 93001</t>
  </si>
  <si>
    <t>Homeless Health Care Los Angeles - Crocker Street</t>
  </si>
  <si>
    <t>442 Crocker Street  Los Angeles CA 90013</t>
  </si>
  <si>
    <t>Homeless Health Care Los Angeles - Maple Ave.</t>
  </si>
  <si>
    <t>655 Maple Ave.  Los Angeles CA 90014</t>
  </si>
  <si>
    <t>Homeless Health Care Los Angeles - 2nd Street</t>
  </si>
  <si>
    <t>1282 W 2nd Street  Los Angeles CA 90026</t>
  </si>
  <si>
    <t>Grain Craft, LLC</t>
  </si>
  <si>
    <t>8790 Rochester Ave # B  Rancho Cucamonga CA 91730</t>
  </si>
  <si>
    <t>SonTek (Xylem, Inc.)</t>
  </si>
  <si>
    <t>9940 Summers Ridge Rd.  San Diego CA 92121</t>
  </si>
  <si>
    <t>Eggo Company dba Kellanova</t>
  </si>
  <si>
    <t>475 Eggo Way  San Jose CA 95116</t>
  </si>
  <si>
    <t>Ruiz Food Products, Inc.</t>
  </si>
  <si>
    <t>501 South Alta Avenue  Dinuba CA 93618</t>
  </si>
  <si>
    <t>Shell Catalyst &amp; Technologies</t>
  </si>
  <si>
    <t>10 Mococo Road  Martinez CA 94553</t>
  </si>
  <si>
    <t>Trailer Park, Inc.</t>
  </si>
  <si>
    <t>6922 Hollywood Blvd, 10th Floor  Los Angeles CA 90028</t>
  </si>
  <si>
    <t>University of Southern California (1042 Downey Way)</t>
  </si>
  <si>
    <t>1042 Downey Way  Los Angeles CA 90089</t>
  </si>
  <si>
    <t>University of Southern California (1149 S. Hill Street)</t>
  </si>
  <si>
    <t>1149 S. Hill Street  Los Angeles CA 90089</t>
  </si>
  <si>
    <t>University of Southern California (1150 S. Olive Street)</t>
  </si>
  <si>
    <t>1150 S. Olive Street  Los Angeles CA 90015</t>
  </si>
  <si>
    <t>University of Southern California (12015 E Waterfront Dr.)</t>
  </si>
  <si>
    <t>12015 E Waterfront Dr.  Playa Vista CA 90094</t>
  </si>
  <si>
    <t>University of Southern California (3649 McClintock Ave.)</t>
  </si>
  <si>
    <t>3649 McClintock Ave.  Los Angeles CA 90089</t>
  </si>
  <si>
    <t>University of Southern California (3740 McClintock Ave)</t>
  </si>
  <si>
    <t>3740 McClintock Ave  Los Angeles CA 90089</t>
  </si>
  <si>
    <t>University of Southern California (4676 Admiralty Way)</t>
  </si>
  <si>
    <t>4676 Admiralty Way  Marina Del Rey CA 90292</t>
  </si>
  <si>
    <t>University of Southern California (746 W Adams Blvd.)</t>
  </si>
  <si>
    <t>746 W Adams Blvd.  Los Angeles CA 90007</t>
  </si>
  <si>
    <t>University of Southern California (854 Downey Way)</t>
  </si>
  <si>
    <t>854 Downey Way  Los Angeles CA 90089</t>
  </si>
  <si>
    <t>University of Southern California (941 Bloom Walk)</t>
  </si>
  <si>
    <t>941 Bloom Walk  Los Angeles CA 90089</t>
  </si>
  <si>
    <t>Sapporo U.S.A. (1999 Citracado Parkway)</t>
  </si>
  <si>
    <t>Sapporo U.S.A. (2865 Executive Place)</t>
  </si>
  <si>
    <t>Sapporo U.S.A. (2005 Harmony Grove Rd)</t>
  </si>
  <si>
    <t>2005 Harmony Grove Rd  Escondido CA 92029</t>
  </si>
  <si>
    <t>Fuji Food Products, Inc.</t>
  </si>
  <si>
    <t>14420 Bloomfield Ave.  Santa Fe Springs CA 90670</t>
  </si>
  <si>
    <t>LeeMah Electronics</t>
  </si>
  <si>
    <t>15 South Hill Drive  Brisbane CA 94005</t>
  </si>
  <si>
    <t>Uber Technologies, Inc. - 200 Mathilda Place</t>
  </si>
  <si>
    <t>200 Mathilda Place  Sunnyvale CA 94086</t>
  </si>
  <si>
    <t>Uber technologies, Inc. - 190 Mathilda Place</t>
  </si>
  <si>
    <t>190 Mathilda Place  Sunnyvale CA 94086</t>
  </si>
  <si>
    <t>Oracle Pleasanton Campus (Pleasanton Campus)</t>
  </si>
  <si>
    <t>5815 Owens Drive  Pleasanton CA 94588</t>
  </si>
  <si>
    <t>Oracle America, Inc.</t>
  </si>
  <si>
    <t>500 Oracle Parkway  Redwood City CA 94065</t>
  </si>
  <si>
    <t>4230 Leonard Stocking Drive  Santa Clara CA 95054</t>
  </si>
  <si>
    <t>Uber Technologies, Inc. - 1655 3rd Street</t>
  </si>
  <si>
    <t>Uber Technologies, Inc. 1725 3rd Street</t>
  </si>
  <si>
    <t>1725 3rd Street  San Francisco CA 94158</t>
  </si>
  <si>
    <t>Full Steam Staffing (2121 Boeing Way)</t>
  </si>
  <si>
    <t>2121 Boeing Way  Stockton CA 95206</t>
  </si>
  <si>
    <t>Full Steam Staffing (4239 Pock Lane)</t>
  </si>
  <si>
    <t>4239 Pock Lane  Stockton CA 95206</t>
  </si>
  <si>
    <t>DesigneRx Pharmaceuticals, Inc.</t>
  </si>
  <si>
    <t>Pathways Community Services dba Clarvida</t>
  </si>
  <si>
    <t>1360 S. Anaheim Blvd. Suite 101  Anaheim CA 92805</t>
  </si>
  <si>
    <t>1401 N Tustin Ave #225  Santa Ana CA 92706</t>
  </si>
  <si>
    <t>Fresno County</t>
  </si>
  <si>
    <t>Maya Cinemas Fresno 16</t>
  </si>
  <si>
    <t>3090 E. Campus Pointe Dr.  Fresno CA 93710</t>
  </si>
  <si>
    <t>Levine Management Group, Inc. - 822 SRobertson</t>
  </si>
  <si>
    <t>Layoff Not known at this time</t>
  </si>
  <si>
    <t>822 S Robertson Blvd. Ste 200  Los Angeles CA 90035</t>
  </si>
  <si>
    <t>Levine Management Groups, Inc. - Candlewood</t>
  </si>
  <si>
    <t>4051 Candlewood St.  Lakewood CA 90712</t>
  </si>
  <si>
    <t>Levine Management Groups, Inc. - San Dimas</t>
  </si>
  <si>
    <t>2400 San Dimas Canyon Rd.  La Verne CA 91750</t>
  </si>
  <si>
    <t>Levine Management Groups, Inc. - Ratner St.</t>
  </si>
  <si>
    <t>10986 W. Ratner St.  Sun Valley CA 91352</t>
  </si>
  <si>
    <t>Levine Management Groups, Inc. 95th Street</t>
  </si>
  <si>
    <t>1351 W. 95th Street  Los Angeles CA 90044</t>
  </si>
  <si>
    <t>Levine Management Groups, Inc. - Towne Avenue</t>
  </si>
  <si>
    <t>425 Towne Avenue  Los Angeles CA 90013</t>
  </si>
  <si>
    <t>Levine management Groups, Inc. - Normandie Ave</t>
  </si>
  <si>
    <t>6525 Normandie Ave.  Los Angeles CA 90044</t>
  </si>
  <si>
    <t>Levine Management Group, Inc. - Rural Dr.</t>
  </si>
  <si>
    <t>234 N. Rural Dr.  Monterey Park CA 91755</t>
  </si>
  <si>
    <t>Levine Management Group, Inc. - James M. Wood Blvd</t>
  </si>
  <si>
    <t>2300 James M. Wood Blvd.  Los Angeles CA 90006</t>
  </si>
  <si>
    <t>Levine Management Group, Inc. - Gale Ave.</t>
  </si>
  <si>
    <t>15554 Gale Ave.  Hacienda Heights CA 91745</t>
  </si>
  <si>
    <t>Levine Management Groups, Inc. - Potrero Grande</t>
  </si>
  <si>
    <t>1301 Potrero Grande Dr.  Rosemead CA 91770</t>
  </si>
  <si>
    <t>Levine Management Groups, Inc. - Mesa St.</t>
  </si>
  <si>
    <t>805 S. Mesa St.  San Pedro CA 90731</t>
  </si>
  <si>
    <t>Levine Management Groups, Inc. - 900-906 Crenshaw Blvd</t>
  </si>
  <si>
    <t>900-906 Crenshaw Blvd.  Los Angeles CA 90019</t>
  </si>
  <si>
    <t>Levine Management Groups. Inc. - Kingsley Dr.</t>
  </si>
  <si>
    <t>540-542 Kingsley Dr.  Los Angeles CA 90020</t>
  </si>
  <si>
    <t>Levine Management Groups, Inc. - Beachwood Dr.</t>
  </si>
  <si>
    <t>2100 N. Beachwood Dr.  Los Angeles CA 90068</t>
  </si>
  <si>
    <t>Levine Management Groups, Inc. - Manhattan Pl</t>
  </si>
  <si>
    <t>1257 S. Manhattan Pl.  Los Angeles CA 90019</t>
  </si>
  <si>
    <t>Levine Management Groups, Inc. - Valley Blvd.</t>
  </si>
  <si>
    <t>2775 E. Valley Blvd.  West Covina CA 91792</t>
  </si>
  <si>
    <t>Levine Management Groups, Inc. - 1053 S. New Hampshire Ave.-</t>
  </si>
  <si>
    <t>1053 S. New Hampshire Ave.  Los Angeles CA 90006</t>
  </si>
  <si>
    <t>Levine Management Groups, Inc. - 1057 S, New Hampshire Ave</t>
  </si>
  <si>
    <t>1057 New Hampshire Ave.  Los Angeles CA 90006</t>
  </si>
  <si>
    <t>Levine Management Groups, Inc. - 980 Palm Ave.</t>
  </si>
  <si>
    <t>980 Palm Ave.  West Hollywood CA 90069</t>
  </si>
  <si>
    <t>Levine Management Groups, Inc. - Arrow Highway</t>
  </si>
  <si>
    <t>837 E. Arrow Highway  Pomona CA 91767</t>
  </si>
  <si>
    <t>Levine Management Groups, Inc. - Glendale Blvd</t>
  </si>
  <si>
    <t>153 Glendale Blvd.  Los Angeles CA 90026</t>
  </si>
  <si>
    <t>Leveine Management Groups - 415 S. Oleander Ave.</t>
  </si>
  <si>
    <t>415 S. Oleander Ave,  Compton CA 90220</t>
  </si>
  <si>
    <t>Levine Management Groups, Inc. - 425 S. Oleander Ave.</t>
  </si>
  <si>
    <t>425 S. Oleander Ave.  Compton CA 90220</t>
  </si>
  <si>
    <t>Levine Management Groups, Inc. - Canada Blvd.</t>
  </si>
  <si>
    <t>2615 Canada Blvd.  Glendale CA 91208</t>
  </si>
  <si>
    <t>Levine Management Groups, Inc. - Sunset Pl.</t>
  </si>
  <si>
    <t>2848 Sunset Pl.  Los Angeles CA 90005</t>
  </si>
  <si>
    <t>Levine Management Groups, Inc. - Cypress Road</t>
  </si>
  <si>
    <t>5493 Cypress Road  Oxnard CA 93033</t>
  </si>
  <si>
    <t>Levine Management Groups, Inc. - Ponderosa Dr.</t>
  </si>
  <si>
    <t>2105 E. Ponderosa Dr.  Camarillo CA 93010</t>
  </si>
  <si>
    <t>Levine Management Groups, Inc. - Carmelita Ct.</t>
  </si>
  <si>
    <t>201 Carmelita Ct.  Oxnard CA 93030</t>
  </si>
  <si>
    <t>Amy's Kitchen, LLC</t>
  </si>
  <si>
    <t>2330 Northpoint Parkway  Santa Rosa CA 95407</t>
  </si>
  <si>
    <t>Safeway, Inc. - Stoneridge Mall Road</t>
  </si>
  <si>
    <t>5918 Stoneridge Mall Road  Pleasanton CA 94588</t>
  </si>
  <si>
    <t>Safeway, Inc. - Dublin Canyon Road</t>
  </si>
  <si>
    <t>11555 Dublin Canyon Road  Pleasanton CA 94588</t>
  </si>
  <si>
    <t>2200 Mission College Boulevard  Santa Clara CA 95054</t>
  </si>
  <si>
    <t>Intel Corporation, Inc. - SC-9</t>
  </si>
  <si>
    <t>Intel Corporation - SC-11</t>
  </si>
  <si>
    <t>IPS Nationwide, Inc.</t>
  </si>
  <si>
    <t>39899 Balentine Dr., Unit 200, Suite #228  Newark CA 94560</t>
  </si>
  <si>
    <t>3186 Airway Ave., Suite F  Costa Mesa CA 92626</t>
  </si>
  <si>
    <t>Kaiser (1800 Harrison St.)</t>
  </si>
  <si>
    <t>1800 Harrison St.  Oakland CA 94612</t>
  </si>
  <si>
    <t>Kaiser (One Kaiser Plaza)</t>
  </si>
  <si>
    <t>One Kaiser Plaza  Oakland CA 94612</t>
  </si>
  <si>
    <t>Kaiser</t>
  </si>
  <si>
    <t>4460 Hacienda Dr.  Pleasanton CA 94588</t>
  </si>
  <si>
    <t>3000 S. Robertson Blvd.  Los Angeles CA 90034</t>
  </si>
  <si>
    <t>Kaiser (393 E. Walnut St.)</t>
  </si>
  <si>
    <t>393 E. Walnut St.  Pasadena CA 91188</t>
  </si>
  <si>
    <t>Kaiser (74 N. Pasadena Ave.)</t>
  </si>
  <si>
    <t>74 N. Pasadena Ave.  Pasadena CA 91103</t>
  </si>
  <si>
    <t>Kaiser (75N. Fair Oaks Ave.)</t>
  </si>
  <si>
    <t>75 N. Fair Oaks Ave.  Pasadena CA 91103</t>
  </si>
  <si>
    <t>Kaiser (99 S. Oakland Ave.)</t>
  </si>
  <si>
    <t>99 S. Oakland Ave.  Pasadena CA 91101</t>
  </si>
  <si>
    <t>17836 Gillette Ave.  Irvine CA 92614</t>
  </si>
  <si>
    <t>Kaiser (1830 California Ave.)</t>
  </si>
  <si>
    <t>1830 California Ave.  Corona CA 92881</t>
  </si>
  <si>
    <t>Kaiser (1840 California Ave.)</t>
  </si>
  <si>
    <t>1840 California Ave.  Corona CA 92881</t>
  </si>
  <si>
    <t>50 Iron Point Cir.  Folsom CA 95630</t>
  </si>
  <si>
    <t>3240 Arden Wy.  Sacramento CA 95825</t>
  </si>
  <si>
    <t>Kaiser (17140 Bernardo Center Dr.)</t>
  </si>
  <si>
    <t>17140 Bernardo Center Dr.  San Diego CA 92128</t>
  </si>
  <si>
    <t>Kaiser (3840 Murphy Canyon Rd.)</t>
  </si>
  <si>
    <t>3840 Murphy Canyon Rd.  San Diego CA 92123</t>
  </si>
  <si>
    <t>Kaiser (8954 Rio San Diego Dr.)</t>
  </si>
  <si>
    <t>8954 Rio San Diego Dr.  San Diego CA 92108</t>
  </si>
  <si>
    <t>2000 E El Segundo Blvd  El Segundo CA 90245</t>
  </si>
  <si>
    <t>Capstone Delivery Inc.</t>
  </si>
  <si>
    <t>9350 Rayo Avenue  South Gate CA 90280</t>
  </si>
  <si>
    <t>Quixote Studio Services - North Valley Campus A</t>
  </si>
  <si>
    <t>12137 Montague St.  Pacoima CA 91331</t>
  </si>
  <si>
    <t>Quixote Studio Services - North Valley</t>
  </si>
  <si>
    <t>10252 Norris Ave.  Pacoima CA 91331</t>
  </si>
  <si>
    <t>Quixote Studio Services - Sylmar South</t>
  </si>
  <si>
    <t>13334 Ralston Avenue  Sylmar CA 91342</t>
  </si>
  <si>
    <t>Quixote Studio Services - Sylmar North</t>
  </si>
  <si>
    <t>14002 Balboa  Sylmar CA 91342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</si>
  <si>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01/01/2023 - 09/28/2026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</si>
  <si>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Key Energy Services, LLC - Bakersfield Location</t>
  </si>
  <si>
    <t>18835 Highway 65  Bakersfield CA 93308</t>
  </si>
  <si>
    <t>Dreyer's Grand Ice Cream</t>
  </si>
  <si>
    <t>7301 District Boulevard  Bakersfield CA 93313</t>
  </si>
  <si>
    <t>Key Energy Services, LLC - Ventura Location</t>
  </si>
  <si>
    <t>2951 N. Ventura Avenue  Ventura CA 93002</t>
  </si>
  <si>
    <t>City of Hope</t>
  </si>
  <si>
    <t>4900 Rivergrade Road  Irwindale CA 91706</t>
  </si>
  <si>
    <t>SAC Health (1003 East Brier Drive)</t>
  </si>
  <si>
    <t>1003 East Brier Drive  San Bernardino CA 92408</t>
  </si>
  <si>
    <t>SAC Health (250 South G St.)</t>
  </si>
  <si>
    <t>250 South G St.  San Bernardino CA 92410</t>
  </si>
  <si>
    <t>970 E. Continental Ave.  Tulare CA 93274</t>
  </si>
  <si>
    <t>City National Bank - Flower Street</t>
  </si>
  <si>
    <t>555 S. Flower St.  Los Angeles CA 90071</t>
  </si>
  <si>
    <t>City National Bank - Grand Ave.</t>
  </si>
  <si>
    <t>350 S. Grand Ave.  Los Angeles CA 90071</t>
  </si>
  <si>
    <t>Covenant Aviation Security, LLC</t>
  </si>
  <si>
    <t>Highway 101  San Francisco CA 94128</t>
  </si>
  <si>
    <t>Marin County</t>
  </si>
  <si>
    <t>BioMarin Pharmaceutical Inc.</t>
  </si>
  <si>
    <t>105 Digital Drive  Novato CA 94949</t>
  </si>
  <si>
    <r>
      <t xml:space="preserve">WARN REPORT - </t>
    </r>
    <r>
      <rPr>
        <b/>
        <sz val="12"/>
        <rFont val="Calibri"/>
        <family val="2"/>
        <scheme val="minor"/>
      </rPr>
      <t>07/01/26 to 09/28/2026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I305.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</si>
</sst>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  <xf numFmtId="166" fontId="14" fillId="3" borderId="2" xfId="0" applyNumberFormat="1" applyFont="1" applyFill="1" applyBorder="1" applyAlignment="1">
      <alignment horizontal="left" vertical="top" wrapText="1" readingOrder="1"/>
    </xf>
    <xf numFmtId="166" fontId="14" fillId="3" borderId="8" xfId="0" applyNumberFormat="1" applyFont="1" applyFill="1" applyBorder="1" applyAlignment="1">
      <alignment horizontal="left" vertical="top" wrapText="1" readingOrder="1"/>
    </xf>
    <xf numFmtId="0" fontId="14" fillId="3" borderId="8" xfId="0" applyFont="1" applyFill="1" applyBorder="1" applyAlignment="1">
      <alignment vertical="top" wrapText="1" readingOrder="1"/>
    </xf>
    <xf numFmtId="164" fontId="14" fillId="3" borderId="8" xfId="0" applyNumberFormat="1" applyFont="1" applyFill="1" applyBorder="1" applyAlignment="1">
      <alignment horizontal="right" vertical="top" wrapText="1" readingOrder="1"/>
    </xf>
    <xf numFmtId="166" fontId="14" fillId="4" borderId="2" xfId="0" applyNumberFormat="1" applyFont="1" applyFill="1" applyBorder="1" applyAlignment="1">
      <alignment horizontal="left" vertical="top" wrapText="1" readingOrder="1"/>
    </xf>
    <xf numFmtId="166" fontId="14" fillId="4" borderId="8" xfId="0" applyNumberFormat="1" applyFont="1" applyFill="1" applyBorder="1" applyAlignment="1">
      <alignment horizontal="left" vertical="top" wrapText="1" readingOrder="1"/>
    </xf>
    <xf numFmtId="0" fontId="14" fillId="4" borderId="8" xfId="0" applyFont="1" applyFill="1" applyBorder="1" applyAlignment="1">
      <alignment vertical="top" wrapText="1" readingOrder="1"/>
    </xf>
    <xf numFmtId="164" fontId="14" fillId="4" borderId="8" xfId="0" applyNumberFormat="1" applyFont="1" applyFill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305" totalsRowShown="0" headerRowDxfId="31" dataDxfId="30">
  <autoFilter ref="A2:I305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15909</v>
      </c>
    </row>
    <row r="4" spans="1:2" x14ac:dyDescent="0.25">
      <c r="A4" s="2" t="s">
        <v>9</v>
      </c>
      <c r="B4" s="11">
        <f>COUNTIF('Detailed WARN Report '!F:F,"Layoff Permanent")</f>
        <v>193</v>
      </c>
    </row>
    <row r="5" spans="1:2" x14ac:dyDescent="0.25">
      <c r="A5" s="2" t="s">
        <v>10</v>
      </c>
      <c r="B5" s="11">
        <f>COUNTIF('Detailed WARN Report '!F:F,"Layoff Temporary")</f>
        <v>6</v>
      </c>
    </row>
    <row r="6" spans="1:2" x14ac:dyDescent="0.25">
      <c r="A6" s="2" t="s">
        <v>11</v>
      </c>
      <c r="B6" s="11">
        <f>COUNTIF('Detailed WARN Report '!F:F,"Layoff Not known at this time")</f>
        <v>31</v>
      </c>
    </row>
    <row r="7" spans="1:2" x14ac:dyDescent="0.25">
      <c r="A7" s="2" t="s">
        <v>12</v>
      </c>
      <c r="B7" s="11">
        <f>COUNTIF('Detailed WARN Report '!F:F,"Closure Permanent")</f>
        <v>64</v>
      </c>
    </row>
    <row r="8" spans="1:2" x14ac:dyDescent="0.25">
      <c r="A8" s="2" t="s">
        <v>13</v>
      </c>
      <c r="B8" s="11">
        <f>COUNTIF('Detailed WARN Report '!F:F,"Closure Temporary")</f>
        <v>9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305"/>
  <sheetViews>
    <sheetView zoomScaleNormal="100" workbookViewId="0"/>
  </sheetViews>
  <sheetFormatPr defaultColWidth="150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47.28515625" style="10" bestFit="1" customWidth="1"/>
    <col min="6" max="6" width="21.57031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</cols>
  <sheetData>
    <row r="1" spans="1:9" ht="108.75" customHeight="1" x14ac:dyDescent="0.25">
      <c r="A1" s="16" t="s">
        <v>638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2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2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2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2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2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2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2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2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2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2" t="s">
        <v>34</v>
      </c>
    </row>
    <row r="134" spans="1:9" x14ac:dyDescent="0.2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2" t="s">
        <v>34</v>
      </c>
    </row>
    <row r="135" spans="1:9" x14ac:dyDescent="0.2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2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2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2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2" t="s">
        <v>34</v>
      </c>
    </row>
    <row r="139" spans="1:9" x14ac:dyDescent="0.2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2" t="s">
        <v>47</v>
      </c>
    </row>
    <row r="140" spans="1:9" x14ac:dyDescent="0.2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2" t="s">
        <v>34</v>
      </c>
    </row>
    <row r="141" spans="1:9" x14ac:dyDescent="0.2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6</v>
      </c>
      <c r="G141" s="30">
        <v>73</v>
      </c>
      <c r="H141" s="30" t="s">
        <v>339</v>
      </c>
      <c r="I141" s="32" t="s">
        <v>34</v>
      </c>
    </row>
    <row r="142" spans="1:9" x14ac:dyDescent="0.2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2" t="s">
        <v>39</v>
      </c>
    </row>
    <row r="143" spans="1:9" x14ac:dyDescent="0.2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2" t="s">
        <v>39</v>
      </c>
    </row>
    <row r="144" spans="1:9" x14ac:dyDescent="0.2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2" t="s">
        <v>39</v>
      </c>
    </row>
    <row r="145" spans="1:9" x14ac:dyDescent="0.2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2" t="s">
        <v>39</v>
      </c>
    </row>
    <row r="146" spans="1:9" x14ac:dyDescent="0.2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2" t="s">
        <v>39</v>
      </c>
    </row>
    <row r="147" spans="1:9" x14ac:dyDescent="0.2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2" t="s">
        <v>39</v>
      </c>
    </row>
    <row r="148" spans="1:9" x14ac:dyDescent="0.2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2" t="s">
        <v>39</v>
      </c>
    </row>
    <row r="149" spans="1:9" x14ac:dyDescent="0.2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2" t="s">
        <v>39</v>
      </c>
    </row>
    <row r="150" spans="1:9" x14ac:dyDescent="0.2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2" t="s">
        <v>41</v>
      </c>
    </row>
    <row r="151" spans="1:9" x14ac:dyDescent="0.2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2" t="s">
        <v>34</v>
      </c>
    </row>
    <row r="152" spans="1:9" x14ac:dyDescent="0.2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2" t="s">
        <v>34</v>
      </c>
    </row>
    <row r="153" spans="1:9" x14ac:dyDescent="0.2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2" t="s">
        <v>34</v>
      </c>
    </row>
    <row r="154" spans="1:9" x14ac:dyDescent="0.2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2" t="s">
        <v>34</v>
      </c>
    </row>
    <row r="155" spans="1:9" x14ac:dyDescent="0.2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2" t="s">
        <v>35</v>
      </c>
    </row>
    <row r="156" spans="1:9" x14ac:dyDescent="0.2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2" t="s">
        <v>35</v>
      </c>
    </row>
    <row r="157" spans="1:9" x14ac:dyDescent="0.2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2" t="s">
        <v>43</v>
      </c>
    </row>
    <row r="158" spans="1:9" x14ac:dyDescent="0.2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367</v>
      </c>
      <c r="F158" s="28" t="s">
        <v>6</v>
      </c>
      <c r="G158" s="30">
        <v>1</v>
      </c>
      <c r="H158" s="30" t="s">
        <v>368</v>
      </c>
      <c r="I158" s="32" t="s">
        <v>45</v>
      </c>
    </row>
    <row r="159" spans="1:9" x14ac:dyDescent="0.2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369</v>
      </c>
      <c r="F159" s="28" t="s">
        <v>6</v>
      </c>
      <c r="G159" s="30">
        <v>23</v>
      </c>
      <c r="H159" s="30" t="s">
        <v>370</v>
      </c>
      <c r="I159" s="32" t="s">
        <v>45</v>
      </c>
    </row>
    <row r="160" spans="1:9" x14ac:dyDescent="0.2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371</v>
      </c>
      <c r="F160" s="28" t="s">
        <v>6</v>
      </c>
      <c r="G160" s="30">
        <v>4</v>
      </c>
      <c r="H160" s="30" t="s">
        <v>372</v>
      </c>
      <c r="I160" s="32" t="s">
        <v>45</v>
      </c>
    </row>
    <row r="161" spans="1:9" x14ac:dyDescent="0.2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373</v>
      </c>
      <c r="F161" s="28" t="s">
        <v>6</v>
      </c>
      <c r="G161" s="30">
        <v>15</v>
      </c>
      <c r="H161" s="30" t="s">
        <v>374</v>
      </c>
      <c r="I161" s="32" t="s">
        <v>45</v>
      </c>
    </row>
    <row r="162" spans="1:9" x14ac:dyDescent="0.2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375</v>
      </c>
      <c r="F162" s="28" t="s">
        <v>6</v>
      </c>
      <c r="G162" s="30">
        <v>2</v>
      </c>
      <c r="H162" s="30" t="s">
        <v>376</v>
      </c>
      <c r="I162" s="32" t="s">
        <v>45</v>
      </c>
    </row>
    <row r="163" spans="1:9" x14ac:dyDescent="0.2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377</v>
      </c>
      <c r="F163" s="28" t="s">
        <v>6</v>
      </c>
      <c r="G163" s="30">
        <v>15</v>
      </c>
      <c r="H163" s="30" t="s">
        <v>378</v>
      </c>
      <c r="I163" s="32" t="s">
        <v>45</v>
      </c>
    </row>
    <row r="164" spans="1:9" x14ac:dyDescent="0.2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377</v>
      </c>
      <c r="F164" s="28" t="s">
        <v>6</v>
      </c>
      <c r="G164" s="30">
        <v>3</v>
      </c>
      <c r="H164" s="30" t="s">
        <v>378</v>
      </c>
      <c r="I164" s="32" t="s">
        <v>45</v>
      </c>
    </row>
    <row r="165" spans="1:9" x14ac:dyDescent="0.2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379</v>
      </c>
      <c r="F165" s="28" t="s">
        <v>6</v>
      </c>
      <c r="G165" s="30">
        <v>2</v>
      </c>
      <c r="H165" s="30" t="s">
        <v>380</v>
      </c>
      <c r="I165" s="32" t="s">
        <v>45</v>
      </c>
    </row>
    <row r="166" spans="1:9" x14ac:dyDescent="0.2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381</v>
      </c>
      <c r="F166" s="28" t="s">
        <v>6</v>
      </c>
      <c r="G166" s="30">
        <v>1</v>
      </c>
      <c r="H166" s="30" t="s">
        <v>382</v>
      </c>
      <c r="I166" s="32" t="s">
        <v>45</v>
      </c>
    </row>
    <row r="167" spans="1:9" x14ac:dyDescent="0.2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383</v>
      </c>
      <c r="F167" s="28" t="s">
        <v>6</v>
      </c>
      <c r="G167" s="30">
        <v>2</v>
      </c>
      <c r="H167" s="30" t="s">
        <v>384</v>
      </c>
      <c r="I167" s="32" t="s">
        <v>45</v>
      </c>
    </row>
    <row r="168" spans="1:9" x14ac:dyDescent="0.2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385</v>
      </c>
      <c r="F168" s="28" t="s">
        <v>6</v>
      </c>
      <c r="G168" s="30">
        <v>6</v>
      </c>
      <c r="H168" s="30" t="s">
        <v>372</v>
      </c>
      <c r="I168" s="32" t="s">
        <v>45</v>
      </c>
    </row>
    <row r="169" spans="1:9" x14ac:dyDescent="0.2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386</v>
      </c>
      <c r="F169" s="28" t="s">
        <v>6</v>
      </c>
      <c r="G169" s="30">
        <v>1</v>
      </c>
      <c r="H169" s="30" t="s">
        <v>374</v>
      </c>
      <c r="I169" s="32" t="s">
        <v>45</v>
      </c>
    </row>
    <row r="170" spans="1:9" x14ac:dyDescent="0.2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387</v>
      </c>
      <c r="F170" s="28" t="s">
        <v>6</v>
      </c>
      <c r="G170" s="30">
        <v>1</v>
      </c>
      <c r="H170" s="30" t="s">
        <v>388</v>
      </c>
      <c r="I170" s="32" t="s">
        <v>45</v>
      </c>
    </row>
    <row r="171" spans="1:9" x14ac:dyDescent="0.2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389</v>
      </c>
      <c r="F171" s="28" t="s">
        <v>6</v>
      </c>
      <c r="G171" s="30">
        <v>1</v>
      </c>
      <c r="H171" s="30" t="s">
        <v>380</v>
      </c>
      <c r="I171" s="32" t="s">
        <v>45</v>
      </c>
    </row>
    <row r="172" spans="1:9" x14ac:dyDescent="0.2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390</v>
      </c>
      <c r="F172" s="28" t="s">
        <v>6</v>
      </c>
      <c r="G172" s="30">
        <v>1</v>
      </c>
      <c r="H172" s="30" t="s">
        <v>388</v>
      </c>
      <c r="I172" s="32" t="s">
        <v>45</v>
      </c>
    </row>
    <row r="173" spans="1:9" x14ac:dyDescent="0.2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391</v>
      </c>
      <c r="F173" s="28" t="s">
        <v>6</v>
      </c>
      <c r="G173" s="30">
        <v>7</v>
      </c>
      <c r="H173" s="30" t="s">
        <v>392</v>
      </c>
      <c r="I173" s="32" t="s">
        <v>34</v>
      </c>
    </row>
    <row r="174" spans="1:9" x14ac:dyDescent="0.2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393</v>
      </c>
      <c r="F174" s="28" t="s">
        <v>52</v>
      </c>
      <c r="G174" s="30">
        <v>51</v>
      </c>
      <c r="H174" s="30" t="s">
        <v>394</v>
      </c>
      <c r="I174" s="32" t="s">
        <v>36</v>
      </c>
    </row>
    <row r="175" spans="1:9" x14ac:dyDescent="0.2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395</v>
      </c>
      <c r="F175" s="28" t="s">
        <v>6</v>
      </c>
      <c r="G175" s="30">
        <v>79</v>
      </c>
      <c r="H175" s="30" t="s">
        <v>396</v>
      </c>
      <c r="I175" s="32" t="s">
        <v>45</v>
      </c>
    </row>
    <row r="176" spans="1:9" x14ac:dyDescent="0.2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397</v>
      </c>
      <c r="F176" s="28" t="s">
        <v>6</v>
      </c>
      <c r="G176" s="30">
        <v>16</v>
      </c>
      <c r="H176" s="30" t="s">
        <v>398</v>
      </c>
      <c r="I176" s="32" t="s">
        <v>45</v>
      </c>
    </row>
    <row r="177" spans="1:9" x14ac:dyDescent="0.2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2" t="s">
        <v>34</v>
      </c>
    </row>
    <row r="178" spans="1:9" x14ac:dyDescent="0.2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399</v>
      </c>
      <c r="F178" s="28" t="s">
        <v>52</v>
      </c>
      <c r="G178" s="30">
        <v>189</v>
      </c>
      <c r="H178" s="30" t="s">
        <v>400</v>
      </c>
      <c r="I178" s="32" t="s">
        <v>41</v>
      </c>
    </row>
    <row r="179" spans="1:9" x14ac:dyDescent="0.2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401</v>
      </c>
      <c r="F179" s="28" t="s">
        <v>6</v>
      </c>
      <c r="G179" s="30">
        <v>23</v>
      </c>
      <c r="H179" s="30" t="s">
        <v>402</v>
      </c>
      <c r="I179" s="32" t="s">
        <v>45</v>
      </c>
    </row>
    <row r="180" spans="1:9" x14ac:dyDescent="0.2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403</v>
      </c>
      <c r="F180" s="28" t="s">
        <v>6</v>
      </c>
      <c r="G180" s="30">
        <v>16</v>
      </c>
      <c r="H180" s="30" t="s">
        <v>404</v>
      </c>
      <c r="I180" s="32" t="s">
        <v>45</v>
      </c>
    </row>
    <row r="181" spans="1:9" x14ac:dyDescent="0.2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405</v>
      </c>
      <c r="F181" s="28" t="s">
        <v>6</v>
      </c>
      <c r="G181" s="30">
        <v>16</v>
      </c>
      <c r="H181" s="30" t="s">
        <v>406</v>
      </c>
      <c r="I181" s="32" t="s">
        <v>45</v>
      </c>
    </row>
    <row r="182" spans="1:9" x14ac:dyDescent="0.2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407</v>
      </c>
      <c r="F182" s="28" t="s">
        <v>6</v>
      </c>
      <c r="G182" s="30">
        <v>13</v>
      </c>
      <c r="H182" s="30" t="s">
        <v>408</v>
      </c>
      <c r="I182" s="32" t="s">
        <v>45</v>
      </c>
    </row>
    <row r="183" spans="1:9" x14ac:dyDescent="0.2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409</v>
      </c>
      <c r="F183" s="28" t="s">
        <v>6</v>
      </c>
      <c r="G183" s="30">
        <v>28</v>
      </c>
      <c r="H183" s="30" t="s">
        <v>410</v>
      </c>
      <c r="I183" s="32" t="s">
        <v>41</v>
      </c>
    </row>
    <row r="184" spans="1:9" x14ac:dyDescent="0.2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411</v>
      </c>
      <c r="F184" s="28" t="s">
        <v>6</v>
      </c>
      <c r="G184" s="30">
        <v>70</v>
      </c>
      <c r="H184" s="30" t="s">
        <v>412</v>
      </c>
      <c r="I184" s="32" t="s">
        <v>41</v>
      </c>
    </row>
    <row r="185" spans="1:9" x14ac:dyDescent="0.2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413</v>
      </c>
      <c r="F185" s="28" t="s">
        <v>6</v>
      </c>
      <c r="G185" s="30">
        <v>128</v>
      </c>
      <c r="H185" s="30" t="s">
        <v>414</v>
      </c>
      <c r="I185" s="32" t="s">
        <v>38</v>
      </c>
    </row>
    <row r="186" spans="1:9" x14ac:dyDescent="0.2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415</v>
      </c>
      <c r="F186" s="28" t="s">
        <v>6</v>
      </c>
      <c r="G186" s="30">
        <v>78</v>
      </c>
      <c r="H186" s="30" t="s">
        <v>416</v>
      </c>
      <c r="I186" s="32" t="s">
        <v>41</v>
      </c>
    </row>
    <row r="187" spans="1:9" x14ac:dyDescent="0.2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417</v>
      </c>
      <c r="F187" s="28" t="s">
        <v>6</v>
      </c>
      <c r="G187" s="30">
        <v>738</v>
      </c>
      <c r="H187" s="30" t="s">
        <v>418</v>
      </c>
      <c r="I187" s="32" t="s">
        <v>45</v>
      </c>
    </row>
    <row r="188" spans="1:9" x14ac:dyDescent="0.25">
      <c r="A188" s="28" t="s">
        <v>76</v>
      </c>
      <c r="B188" s="29">
        <v>46262</v>
      </c>
      <c r="C188" s="29">
        <v>46266</v>
      </c>
      <c r="D188" s="29">
        <v>46325</v>
      </c>
      <c r="E188" s="28" t="s">
        <v>424</v>
      </c>
      <c r="F188" s="28" t="s">
        <v>52</v>
      </c>
      <c r="G188" s="30">
        <v>108</v>
      </c>
      <c r="H188" s="30" t="s">
        <v>425</v>
      </c>
      <c r="I188" s="32" t="s">
        <v>34</v>
      </c>
    </row>
    <row r="189" spans="1:9" x14ac:dyDescent="0.25">
      <c r="A189" s="28" t="s">
        <v>55</v>
      </c>
      <c r="B189" s="29">
        <v>46265</v>
      </c>
      <c r="C189" s="29">
        <v>46266</v>
      </c>
      <c r="D189" s="29">
        <v>46324</v>
      </c>
      <c r="E189" s="28" t="s">
        <v>426</v>
      </c>
      <c r="F189" s="28" t="s">
        <v>6</v>
      </c>
      <c r="G189" s="30">
        <v>58</v>
      </c>
      <c r="H189" s="30" t="s">
        <v>427</v>
      </c>
      <c r="I189" s="32" t="s">
        <v>41</v>
      </c>
    </row>
    <row r="190" spans="1:9" x14ac:dyDescent="0.25">
      <c r="A190" s="28" t="s">
        <v>103</v>
      </c>
      <c r="B190" s="29">
        <v>46265</v>
      </c>
      <c r="C190" s="29">
        <v>46266</v>
      </c>
      <c r="D190" s="29">
        <v>46325</v>
      </c>
      <c r="E190" s="28" t="s">
        <v>421</v>
      </c>
      <c r="F190" s="28" t="s">
        <v>6</v>
      </c>
      <c r="G190" s="30">
        <v>251</v>
      </c>
      <c r="H190" s="30" t="s">
        <v>422</v>
      </c>
      <c r="I190" s="32" t="s">
        <v>39</v>
      </c>
    </row>
    <row r="191" spans="1:9" x14ac:dyDescent="0.25">
      <c r="A191" s="28" t="s">
        <v>5</v>
      </c>
      <c r="B191" s="29">
        <v>46266</v>
      </c>
      <c r="C191" s="29">
        <v>46266</v>
      </c>
      <c r="D191" s="29">
        <v>46328</v>
      </c>
      <c r="E191" s="28" t="s">
        <v>419</v>
      </c>
      <c r="F191" s="28" t="s">
        <v>6</v>
      </c>
      <c r="G191" s="30">
        <v>153</v>
      </c>
      <c r="H191" s="30" t="s">
        <v>420</v>
      </c>
      <c r="I191" s="32" t="s">
        <v>34</v>
      </c>
    </row>
    <row r="192" spans="1:9" x14ac:dyDescent="0.25">
      <c r="A192" s="28" t="s">
        <v>53</v>
      </c>
      <c r="B192" s="29">
        <v>46266</v>
      </c>
      <c r="C192" s="29">
        <v>46266</v>
      </c>
      <c r="D192" s="29">
        <v>46328</v>
      </c>
      <c r="E192" s="28" t="s">
        <v>419</v>
      </c>
      <c r="F192" s="28" t="s">
        <v>6</v>
      </c>
      <c r="G192" s="30">
        <v>79</v>
      </c>
      <c r="H192" s="30" t="s">
        <v>428</v>
      </c>
      <c r="I192" s="32" t="s">
        <v>34</v>
      </c>
    </row>
    <row r="193" spans="1:9" x14ac:dyDescent="0.25">
      <c r="A193" s="28" t="s">
        <v>53</v>
      </c>
      <c r="B193" s="29">
        <v>46266</v>
      </c>
      <c r="C193" s="29">
        <v>46266</v>
      </c>
      <c r="D193" s="29">
        <v>46328</v>
      </c>
      <c r="E193" s="28" t="s">
        <v>419</v>
      </c>
      <c r="F193" s="28" t="s">
        <v>6</v>
      </c>
      <c r="G193" s="30">
        <v>52</v>
      </c>
      <c r="H193" s="30" t="s">
        <v>423</v>
      </c>
      <c r="I193" s="32" t="s">
        <v>34</v>
      </c>
    </row>
    <row r="194" spans="1:9" x14ac:dyDescent="0.25">
      <c r="A194" s="28" t="s">
        <v>56</v>
      </c>
      <c r="B194" s="29">
        <v>46267</v>
      </c>
      <c r="C194" s="29">
        <v>46267</v>
      </c>
      <c r="D194" s="29">
        <v>46325</v>
      </c>
      <c r="E194" s="28" t="s">
        <v>429</v>
      </c>
      <c r="F194" s="28" t="s">
        <v>6</v>
      </c>
      <c r="G194" s="30">
        <v>178</v>
      </c>
      <c r="H194" s="30" t="s">
        <v>430</v>
      </c>
      <c r="I194" s="32" t="s">
        <v>44</v>
      </c>
    </row>
    <row r="195" spans="1:9" x14ac:dyDescent="0.25">
      <c r="A195" s="28" t="s">
        <v>431</v>
      </c>
      <c r="B195" s="29">
        <v>46267</v>
      </c>
      <c r="C195" s="29">
        <v>46268</v>
      </c>
      <c r="D195" s="29">
        <v>46283</v>
      </c>
      <c r="E195" s="28" t="s">
        <v>432</v>
      </c>
      <c r="F195" s="28" t="s">
        <v>101</v>
      </c>
      <c r="G195" s="30">
        <v>82</v>
      </c>
      <c r="H195" s="30" t="s">
        <v>433</v>
      </c>
      <c r="I195" s="32" t="s">
        <v>47</v>
      </c>
    </row>
    <row r="196" spans="1:9" x14ac:dyDescent="0.25">
      <c r="A196" s="28" t="s">
        <v>326</v>
      </c>
      <c r="B196" s="29">
        <v>46268</v>
      </c>
      <c r="C196" s="29">
        <v>46268</v>
      </c>
      <c r="D196" s="29">
        <v>46341</v>
      </c>
      <c r="E196" s="28" t="s">
        <v>434</v>
      </c>
      <c r="F196" s="28" t="s">
        <v>6</v>
      </c>
      <c r="G196" s="30">
        <v>128</v>
      </c>
      <c r="H196" s="30" t="s">
        <v>435</v>
      </c>
      <c r="I196" s="32" t="s">
        <v>47</v>
      </c>
    </row>
    <row r="197" spans="1:9" x14ac:dyDescent="0.25">
      <c r="A197" s="28" t="s">
        <v>5</v>
      </c>
      <c r="B197" s="29">
        <v>46267</v>
      </c>
      <c r="C197" s="29">
        <v>46269</v>
      </c>
      <c r="D197" s="29">
        <v>46329</v>
      </c>
      <c r="E197" s="28" t="s">
        <v>436</v>
      </c>
      <c r="F197" s="28" t="s">
        <v>6</v>
      </c>
      <c r="G197" s="30">
        <v>117</v>
      </c>
      <c r="H197" s="30" t="s">
        <v>437</v>
      </c>
      <c r="I197" s="32" t="s">
        <v>45</v>
      </c>
    </row>
    <row r="198" spans="1:9" x14ac:dyDescent="0.25">
      <c r="A198" s="28" t="s">
        <v>5</v>
      </c>
      <c r="B198" s="29">
        <v>46267</v>
      </c>
      <c r="C198" s="29">
        <v>46269</v>
      </c>
      <c r="D198" s="29">
        <v>46329</v>
      </c>
      <c r="E198" s="28" t="s">
        <v>438</v>
      </c>
      <c r="F198" s="28" t="s">
        <v>6</v>
      </c>
      <c r="G198" s="30">
        <v>16</v>
      </c>
      <c r="H198" s="30" t="s">
        <v>439</v>
      </c>
      <c r="I198" s="32" t="s">
        <v>45</v>
      </c>
    </row>
    <row r="199" spans="1:9" x14ac:dyDescent="0.25">
      <c r="A199" s="28" t="s">
        <v>5</v>
      </c>
      <c r="B199" s="29">
        <v>46267</v>
      </c>
      <c r="C199" s="29">
        <v>46269</v>
      </c>
      <c r="D199" s="29">
        <v>46329</v>
      </c>
      <c r="E199" s="28" t="s">
        <v>440</v>
      </c>
      <c r="F199" s="28" t="s">
        <v>6</v>
      </c>
      <c r="G199" s="30">
        <v>1</v>
      </c>
      <c r="H199" s="30" t="s">
        <v>441</v>
      </c>
      <c r="I199" s="32" t="s">
        <v>45</v>
      </c>
    </row>
    <row r="200" spans="1:9" x14ac:dyDescent="0.25">
      <c r="A200" s="28" t="s">
        <v>54</v>
      </c>
      <c r="B200" s="29">
        <v>46266</v>
      </c>
      <c r="C200" s="29">
        <v>46269</v>
      </c>
      <c r="D200" s="29">
        <v>46325</v>
      </c>
      <c r="E200" s="28" t="s">
        <v>442</v>
      </c>
      <c r="F200" s="28" t="s">
        <v>52</v>
      </c>
      <c r="G200" s="30">
        <v>3</v>
      </c>
      <c r="H200" s="30" t="s">
        <v>443</v>
      </c>
      <c r="I200" s="32" t="s">
        <v>34</v>
      </c>
    </row>
    <row r="201" spans="1:9" x14ac:dyDescent="0.25">
      <c r="A201" s="28" t="s">
        <v>207</v>
      </c>
      <c r="B201" s="29">
        <v>46269</v>
      </c>
      <c r="C201" s="29">
        <v>46269</v>
      </c>
      <c r="D201" s="29">
        <v>46332</v>
      </c>
      <c r="E201" s="28" t="s">
        <v>444</v>
      </c>
      <c r="F201" s="28" t="s">
        <v>52</v>
      </c>
      <c r="G201" s="30">
        <v>36</v>
      </c>
      <c r="H201" s="30" t="s">
        <v>445</v>
      </c>
      <c r="I201" s="32" t="s">
        <v>34</v>
      </c>
    </row>
    <row r="202" spans="1:9" x14ac:dyDescent="0.25">
      <c r="A202" s="28" t="s">
        <v>103</v>
      </c>
      <c r="B202" s="29">
        <v>46269</v>
      </c>
      <c r="C202" s="29">
        <v>46269</v>
      </c>
      <c r="D202" s="29">
        <v>46330</v>
      </c>
      <c r="E202" s="28" t="s">
        <v>446</v>
      </c>
      <c r="F202" s="28" t="s">
        <v>101</v>
      </c>
      <c r="G202" s="30">
        <v>112</v>
      </c>
      <c r="H202" s="30" t="s">
        <v>447</v>
      </c>
      <c r="I202" s="32" t="s">
        <v>34</v>
      </c>
    </row>
    <row r="203" spans="1:9" x14ac:dyDescent="0.25">
      <c r="A203" s="28" t="s">
        <v>127</v>
      </c>
      <c r="B203" s="29">
        <v>46269</v>
      </c>
      <c r="C203" s="29">
        <v>46269</v>
      </c>
      <c r="D203" s="29">
        <v>46330</v>
      </c>
      <c r="E203" s="28" t="s">
        <v>448</v>
      </c>
      <c r="F203" s="28" t="s">
        <v>6</v>
      </c>
      <c r="G203" s="30">
        <v>176</v>
      </c>
      <c r="H203" s="30" t="s">
        <v>449</v>
      </c>
      <c r="I203" s="32" t="s">
        <v>34</v>
      </c>
    </row>
    <row r="204" spans="1:9" x14ac:dyDescent="0.25">
      <c r="A204" s="28" t="s">
        <v>57</v>
      </c>
      <c r="B204" s="29">
        <v>46274</v>
      </c>
      <c r="C204" s="29">
        <v>46274</v>
      </c>
      <c r="D204" s="29">
        <v>46356</v>
      </c>
      <c r="E204" s="28" t="s">
        <v>450</v>
      </c>
      <c r="F204" s="28" t="s">
        <v>52</v>
      </c>
      <c r="G204" s="30">
        <v>64</v>
      </c>
      <c r="H204" s="30" t="s">
        <v>451</v>
      </c>
      <c r="I204" s="32" t="s">
        <v>34</v>
      </c>
    </row>
    <row r="205" spans="1:9" x14ac:dyDescent="0.25">
      <c r="A205" s="28" t="s">
        <v>5</v>
      </c>
      <c r="B205" s="29">
        <v>46261</v>
      </c>
      <c r="C205" s="29">
        <v>46274</v>
      </c>
      <c r="D205" s="29">
        <v>46210</v>
      </c>
      <c r="E205" s="28" t="s">
        <v>452</v>
      </c>
      <c r="F205" s="28" t="s">
        <v>6</v>
      </c>
      <c r="G205" s="30">
        <v>119</v>
      </c>
      <c r="H205" s="30" t="s">
        <v>453</v>
      </c>
      <c r="I205" s="32" t="s">
        <v>41</v>
      </c>
    </row>
    <row r="206" spans="1:9" x14ac:dyDescent="0.25">
      <c r="A206" s="28" t="s">
        <v>5</v>
      </c>
      <c r="B206" s="29">
        <v>46274</v>
      </c>
      <c r="C206" s="29">
        <v>46274</v>
      </c>
      <c r="D206" s="29">
        <v>46330</v>
      </c>
      <c r="E206" s="28" t="s">
        <v>454</v>
      </c>
      <c r="F206" s="28" t="s">
        <v>6</v>
      </c>
      <c r="G206" s="30">
        <v>7</v>
      </c>
      <c r="H206" s="30" t="s">
        <v>455</v>
      </c>
      <c r="I206" s="32" t="s">
        <v>44</v>
      </c>
    </row>
    <row r="207" spans="1:9" x14ac:dyDescent="0.25">
      <c r="A207" s="28" t="s">
        <v>5</v>
      </c>
      <c r="B207" s="29">
        <v>46274</v>
      </c>
      <c r="C207" s="29">
        <v>46274</v>
      </c>
      <c r="D207" s="29">
        <v>46330</v>
      </c>
      <c r="E207" s="28" t="s">
        <v>456</v>
      </c>
      <c r="F207" s="28" t="s">
        <v>6</v>
      </c>
      <c r="G207" s="30">
        <v>1</v>
      </c>
      <c r="H207" s="30" t="s">
        <v>457</v>
      </c>
      <c r="I207" s="32" t="s">
        <v>44</v>
      </c>
    </row>
    <row r="208" spans="1:9" x14ac:dyDescent="0.25">
      <c r="A208" s="28" t="s">
        <v>5</v>
      </c>
      <c r="B208" s="29">
        <v>46274</v>
      </c>
      <c r="C208" s="29">
        <v>46274</v>
      </c>
      <c r="D208" s="29">
        <v>46330</v>
      </c>
      <c r="E208" s="28" t="s">
        <v>458</v>
      </c>
      <c r="F208" s="28" t="s">
        <v>6</v>
      </c>
      <c r="G208" s="30">
        <v>5</v>
      </c>
      <c r="H208" s="30" t="s">
        <v>459</v>
      </c>
      <c r="I208" s="32" t="s">
        <v>44</v>
      </c>
    </row>
    <row r="209" spans="1:9" x14ac:dyDescent="0.25">
      <c r="A209" s="28" t="s">
        <v>5</v>
      </c>
      <c r="B209" s="29">
        <v>46274</v>
      </c>
      <c r="C209" s="29">
        <v>46274</v>
      </c>
      <c r="D209" s="29">
        <v>46330</v>
      </c>
      <c r="E209" s="28" t="s">
        <v>460</v>
      </c>
      <c r="F209" s="28" t="s">
        <v>6</v>
      </c>
      <c r="G209" s="30">
        <v>8</v>
      </c>
      <c r="H209" s="30" t="s">
        <v>461</v>
      </c>
      <c r="I209" s="32" t="s">
        <v>44</v>
      </c>
    </row>
    <row r="210" spans="1:9" x14ac:dyDescent="0.25">
      <c r="A210" s="28" t="s">
        <v>5</v>
      </c>
      <c r="B210" s="29">
        <v>46274</v>
      </c>
      <c r="C210" s="29">
        <v>46274</v>
      </c>
      <c r="D210" s="29">
        <v>46330</v>
      </c>
      <c r="E210" s="28" t="s">
        <v>462</v>
      </c>
      <c r="F210" s="28" t="s">
        <v>6</v>
      </c>
      <c r="G210" s="30">
        <v>21</v>
      </c>
      <c r="H210" s="30" t="s">
        <v>463</v>
      </c>
      <c r="I210" s="32" t="s">
        <v>44</v>
      </c>
    </row>
    <row r="211" spans="1:9" x14ac:dyDescent="0.25">
      <c r="A211" s="28" t="s">
        <v>5</v>
      </c>
      <c r="B211" s="29">
        <v>46274</v>
      </c>
      <c r="C211" s="29">
        <v>46274</v>
      </c>
      <c r="D211" s="29">
        <v>46330</v>
      </c>
      <c r="E211" s="28" t="s">
        <v>464</v>
      </c>
      <c r="F211" s="28" t="s">
        <v>6</v>
      </c>
      <c r="G211" s="30">
        <v>2</v>
      </c>
      <c r="H211" s="30" t="s">
        <v>465</v>
      </c>
      <c r="I211" s="32" t="s">
        <v>44</v>
      </c>
    </row>
    <row r="212" spans="1:9" x14ac:dyDescent="0.25">
      <c r="A212" s="28" t="s">
        <v>5</v>
      </c>
      <c r="B212" s="29">
        <v>46274</v>
      </c>
      <c r="C212" s="29">
        <v>46274</v>
      </c>
      <c r="D212" s="29">
        <v>46330</v>
      </c>
      <c r="E212" s="28" t="s">
        <v>466</v>
      </c>
      <c r="F212" s="28" t="s">
        <v>6</v>
      </c>
      <c r="G212" s="30">
        <v>15</v>
      </c>
      <c r="H212" s="30" t="s">
        <v>467</v>
      </c>
      <c r="I212" s="32" t="s">
        <v>44</v>
      </c>
    </row>
    <row r="213" spans="1:9" x14ac:dyDescent="0.25">
      <c r="A213" s="28" t="s">
        <v>5</v>
      </c>
      <c r="B213" s="29">
        <v>46274</v>
      </c>
      <c r="C213" s="29">
        <v>46274</v>
      </c>
      <c r="D213" s="29">
        <v>46330</v>
      </c>
      <c r="E213" s="28" t="s">
        <v>468</v>
      </c>
      <c r="F213" s="28" t="s">
        <v>6</v>
      </c>
      <c r="G213" s="30">
        <v>1</v>
      </c>
      <c r="H213" s="30" t="s">
        <v>469</v>
      </c>
      <c r="I213" s="32" t="s">
        <v>44</v>
      </c>
    </row>
    <row r="214" spans="1:9" x14ac:dyDescent="0.25">
      <c r="A214" s="28" t="s">
        <v>5</v>
      </c>
      <c r="B214" s="29">
        <v>46274</v>
      </c>
      <c r="C214" s="29">
        <v>46274</v>
      </c>
      <c r="D214" s="29">
        <v>46330</v>
      </c>
      <c r="E214" s="28" t="s">
        <v>470</v>
      </c>
      <c r="F214" s="28" t="s">
        <v>6</v>
      </c>
      <c r="G214" s="30">
        <v>1</v>
      </c>
      <c r="H214" s="30" t="s">
        <v>471</v>
      </c>
      <c r="I214" s="32" t="s">
        <v>44</v>
      </c>
    </row>
    <row r="215" spans="1:9" x14ac:dyDescent="0.25">
      <c r="A215" s="28" t="s">
        <v>5</v>
      </c>
      <c r="B215" s="29">
        <v>46274</v>
      </c>
      <c r="C215" s="29">
        <v>46274</v>
      </c>
      <c r="D215" s="29">
        <v>46330</v>
      </c>
      <c r="E215" s="28" t="s">
        <v>472</v>
      </c>
      <c r="F215" s="28" t="s">
        <v>6</v>
      </c>
      <c r="G215" s="30">
        <v>4</v>
      </c>
      <c r="H215" s="30" t="s">
        <v>473</v>
      </c>
      <c r="I215" s="32" t="s">
        <v>44</v>
      </c>
    </row>
    <row r="216" spans="1:9" x14ac:dyDescent="0.25">
      <c r="A216" s="28" t="s">
        <v>207</v>
      </c>
      <c r="B216" s="29">
        <v>46274</v>
      </c>
      <c r="C216" s="29">
        <v>46274</v>
      </c>
      <c r="D216" s="29">
        <v>46339</v>
      </c>
      <c r="E216" s="28" t="s">
        <v>474</v>
      </c>
      <c r="F216" s="28" t="s">
        <v>52</v>
      </c>
      <c r="G216" s="30">
        <v>200</v>
      </c>
      <c r="H216" s="30" t="s">
        <v>334</v>
      </c>
      <c r="I216" s="32" t="s">
        <v>34</v>
      </c>
    </row>
    <row r="217" spans="1:9" x14ac:dyDescent="0.25">
      <c r="A217" s="28" t="s">
        <v>207</v>
      </c>
      <c r="B217" s="29">
        <v>46274</v>
      </c>
      <c r="C217" s="29">
        <v>46274</v>
      </c>
      <c r="D217" s="29">
        <v>46339</v>
      </c>
      <c r="E217" s="28" t="s">
        <v>475</v>
      </c>
      <c r="F217" s="28" t="s">
        <v>52</v>
      </c>
      <c r="G217" s="30">
        <v>6</v>
      </c>
      <c r="H217" s="30" t="s">
        <v>330</v>
      </c>
      <c r="I217" s="32" t="s">
        <v>34</v>
      </c>
    </row>
    <row r="218" spans="1:9" x14ac:dyDescent="0.25">
      <c r="A218" s="28" t="s">
        <v>207</v>
      </c>
      <c r="B218" s="29">
        <v>46274</v>
      </c>
      <c r="C218" s="29">
        <v>46274</v>
      </c>
      <c r="D218" s="29">
        <v>46339</v>
      </c>
      <c r="E218" s="28" t="s">
        <v>476</v>
      </c>
      <c r="F218" s="28" t="s">
        <v>52</v>
      </c>
      <c r="G218" s="30">
        <v>6</v>
      </c>
      <c r="H218" s="30" t="s">
        <v>477</v>
      </c>
      <c r="I218" s="32" t="s">
        <v>34</v>
      </c>
    </row>
    <row r="219" spans="1:9" x14ac:dyDescent="0.25">
      <c r="A219" s="28" t="s">
        <v>5</v>
      </c>
      <c r="B219" s="29">
        <v>46275</v>
      </c>
      <c r="C219" s="29">
        <v>46276</v>
      </c>
      <c r="D219" s="29">
        <v>46339</v>
      </c>
      <c r="E219" s="28" t="s">
        <v>478</v>
      </c>
      <c r="F219" s="28" t="s">
        <v>6</v>
      </c>
      <c r="G219" s="30">
        <v>35</v>
      </c>
      <c r="H219" s="30" t="s">
        <v>479</v>
      </c>
      <c r="I219" s="32" t="s">
        <v>34</v>
      </c>
    </row>
    <row r="220" spans="1:9" x14ac:dyDescent="0.25">
      <c r="A220" s="28" t="s">
        <v>55</v>
      </c>
      <c r="B220" s="29">
        <v>46276</v>
      </c>
      <c r="C220" s="29">
        <v>46279</v>
      </c>
      <c r="D220" s="29">
        <v>46377</v>
      </c>
      <c r="E220" s="28" t="s">
        <v>480</v>
      </c>
      <c r="F220" s="28" t="s">
        <v>52</v>
      </c>
      <c r="G220" s="30">
        <v>62</v>
      </c>
      <c r="H220" s="30" t="s">
        <v>481</v>
      </c>
      <c r="I220" s="32" t="s">
        <v>34</v>
      </c>
    </row>
    <row r="221" spans="1:9" x14ac:dyDescent="0.25">
      <c r="A221" s="28" t="s">
        <v>103</v>
      </c>
      <c r="B221" s="29">
        <v>46267</v>
      </c>
      <c r="C221" s="29">
        <v>46279</v>
      </c>
      <c r="D221" s="29">
        <v>46328</v>
      </c>
      <c r="E221" s="28" t="s">
        <v>482</v>
      </c>
      <c r="F221" s="28" t="s">
        <v>6</v>
      </c>
      <c r="G221" s="30">
        <v>94</v>
      </c>
      <c r="H221" s="30" t="s">
        <v>483</v>
      </c>
      <c r="I221" s="32" t="s">
        <v>43</v>
      </c>
    </row>
    <row r="222" spans="1:9" x14ac:dyDescent="0.25">
      <c r="A222" s="28" t="s">
        <v>103</v>
      </c>
      <c r="B222" s="29">
        <v>46267</v>
      </c>
      <c r="C222" s="29">
        <v>46279</v>
      </c>
      <c r="D222" s="29">
        <v>46328</v>
      </c>
      <c r="E222" s="28" t="s">
        <v>484</v>
      </c>
      <c r="F222" s="28" t="s">
        <v>6</v>
      </c>
      <c r="G222" s="30">
        <v>43</v>
      </c>
      <c r="H222" s="30" t="s">
        <v>485</v>
      </c>
      <c r="I222" s="32" t="s">
        <v>43</v>
      </c>
    </row>
    <row r="223" spans="1:9" x14ac:dyDescent="0.25">
      <c r="A223" s="33" t="s">
        <v>76</v>
      </c>
      <c r="B223" s="41">
        <v>46279</v>
      </c>
      <c r="C223" s="42">
        <v>46280</v>
      </c>
      <c r="D223" s="41">
        <v>46339</v>
      </c>
      <c r="E223" s="43" t="s">
        <v>486</v>
      </c>
      <c r="F223" s="43" t="s">
        <v>6</v>
      </c>
      <c r="G223" s="30">
        <v>63</v>
      </c>
      <c r="H223" s="43" t="s">
        <v>487</v>
      </c>
      <c r="I223" s="32" t="s">
        <v>34</v>
      </c>
    </row>
    <row r="224" spans="1:9" x14ac:dyDescent="0.25">
      <c r="A224" s="33" t="s">
        <v>55</v>
      </c>
      <c r="B224" s="41">
        <v>46279</v>
      </c>
      <c r="C224" s="42">
        <v>46280</v>
      </c>
      <c r="D224" s="41">
        <v>46339</v>
      </c>
      <c r="E224" s="43" t="s">
        <v>488</v>
      </c>
      <c r="F224" s="43" t="s">
        <v>6</v>
      </c>
      <c r="G224" s="44">
        <v>279</v>
      </c>
      <c r="H224" s="43" t="s">
        <v>489</v>
      </c>
      <c r="I224" s="32" t="s">
        <v>34</v>
      </c>
    </row>
    <row r="225" spans="1:9" x14ac:dyDescent="0.25">
      <c r="A225" s="33" t="s">
        <v>103</v>
      </c>
      <c r="B225" s="45">
        <v>46279</v>
      </c>
      <c r="C225" s="46">
        <v>46280</v>
      </c>
      <c r="D225" s="45">
        <v>46339</v>
      </c>
      <c r="E225" s="47" t="s">
        <v>488</v>
      </c>
      <c r="F225" s="47" t="s">
        <v>6</v>
      </c>
      <c r="G225" s="48">
        <v>99</v>
      </c>
      <c r="H225" s="47" t="s">
        <v>490</v>
      </c>
      <c r="I225" s="32" t="s">
        <v>34</v>
      </c>
    </row>
    <row r="226" spans="1:9" x14ac:dyDescent="0.25">
      <c r="A226" s="33" t="s">
        <v>79</v>
      </c>
      <c r="B226" s="41">
        <v>46267</v>
      </c>
      <c r="C226" s="42">
        <v>46280</v>
      </c>
      <c r="D226" s="41">
        <v>46328</v>
      </c>
      <c r="E226" s="43" t="s">
        <v>491</v>
      </c>
      <c r="F226" s="43" t="s">
        <v>6</v>
      </c>
      <c r="G226" s="44">
        <v>151</v>
      </c>
      <c r="H226" s="43" t="s">
        <v>153</v>
      </c>
      <c r="I226" s="32" t="s">
        <v>43</v>
      </c>
    </row>
    <row r="227" spans="1:9" x14ac:dyDescent="0.25">
      <c r="A227" s="33" t="s">
        <v>79</v>
      </c>
      <c r="B227" s="45">
        <v>46267</v>
      </c>
      <c r="C227" s="46">
        <v>46280</v>
      </c>
      <c r="D227" s="45">
        <v>46328</v>
      </c>
      <c r="E227" s="47" t="s">
        <v>492</v>
      </c>
      <c r="F227" s="47" t="s">
        <v>6</v>
      </c>
      <c r="G227" s="48">
        <v>102</v>
      </c>
      <c r="H227" s="47" t="s">
        <v>493</v>
      </c>
      <c r="I227" s="32" t="s">
        <v>43</v>
      </c>
    </row>
    <row r="228" spans="1:9" x14ac:dyDescent="0.25">
      <c r="A228" s="33" t="s">
        <v>323</v>
      </c>
      <c r="B228" s="41">
        <v>46280</v>
      </c>
      <c r="C228" s="42">
        <v>46280</v>
      </c>
      <c r="D228" s="41">
        <v>46330</v>
      </c>
      <c r="E228" s="43" t="s">
        <v>494</v>
      </c>
      <c r="F228" s="43" t="s">
        <v>52</v>
      </c>
      <c r="G228" s="44">
        <v>91</v>
      </c>
      <c r="H228" s="43" t="s">
        <v>495</v>
      </c>
      <c r="I228" s="32" t="s">
        <v>43</v>
      </c>
    </row>
    <row r="229" spans="1:9" x14ac:dyDescent="0.25">
      <c r="A229" s="33" t="s">
        <v>323</v>
      </c>
      <c r="B229" s="45">
        <v>46280</v>
      </c>
      <c r="C229" s="46">
        <v>46280</v>
      </c>
      <c r="D229" s="45">
        <v>46330</v>
      </c>
      <c r="E229" s="47" t="s">
        <v>496</v>
      </c>
      <c r="F229" s="47" t="s">
        <v>52</v>
      </c>
      <c r="G229" s="48">
        <v>19</v>
      </c>
      <c r="H229" s="47" t="s">
        <v>497</v>
      </c>
      <c r="I229" s="32" t="s">
        <v>43</v>
      </c>
    </row>
    <row r="230" spans="1:9" x14ac:dyDescent="0.25">
      <c r="A230" s="33" t="s">
        <v>135</v>
      </c>
      <c r="B230" s="41">
        <v>46279</v>
      </c>
      <c r="C230" s="42">
        <v>46280</v>
      </c>
      <c r="D230" s="41">
        <v>46341</v>
      </c>
      <c r="E230" s="43" t="s">
        <v>498</v>
      </c>
      <c r="F230" s="43" t="s">
        <v>52</v>
      </c>
      <c r="G230" s="44">
        <v>7</v>
      </c>
      <c r="H230" s="43" t="s">
        <v>137</v>
      </c>
      <c r="I230" s="32" t="s">
        <v>34</v>
      </c>
    </row>
    <row r="231" spans="1:9" x14ac:dyDescent="0.25">
      <c r="A231" s="33" t="s">
        <v>53</v>
      </c>
      <c r="B231" s="41">
        <v>46266</v>
      </c>
      <c r="C231" s="42">
        <v>46281</v>
      </c>
      <c r="D231" s="41">
        <v>46327</v>
      </c>
      <c r="E231" s="43" t="s">
        <v>499</v>
      </c>
      <c r="F231" s="43" t="s">
        <v>52</v>
      </c>
      <c r="G231" s="44">
        <v>35</v>
      </c>
      <c r="H231" s="43" t="s">
        <v>500</v>
      </c>
      <c r="I231" s="32" t="s">
        <v>45</v>
      </c>
    </row>
    <row r="232" spans="1:9" x14ac:dyDescent="0.25">
      <c r="A232" s="33" t="s">
        <v>53</v>
      </c>
      <c r="B232" s="45">
        <v>46266</v>
      </c>
      <c r="C232" s="46">
        <v>46281</v>
      </c>
      <c r="D232" s="45">
        <v>46327</v>
      </c>
      <c r="E232" s="47" t="s">
        <v>499</v>
      </c>
      <c r="F232" s="47" t="s">
        <v>52</v>
      </c>
      <c r="G232" s="48">
        <v>32</v>
      </c>
      <c r="H232" s="47" t="s">
        <v>501</v>
      </c>
      <c r="I232" s="32" t="s">
        <v>45</v>
      </c>
    </row>
    <row r="233" spans="1:9" x14ac:dyDescent="0.25">
      <c r="A233" s="28" t="s">
        <v>502</v>
      </c>
      <c r="B233" s="29">
        <v>46281</v>
      </c>
      <c r="C233" s="29">
        <v>46282</v>
      </c>
      <c r="D233" s="29">
        <v>46280</v>
      </c>
      <c r="E233" s="28" t="s">
        <v>503</v>
      </c>
      <c r="F233" s="28" t="s">
        <v>52</v>
      </c>
      <c r="G233" s="30">
        <v>86</v>
      </c>
      <c r="H233" s="30" t="s">
        <v>504</v>
      </c>
      <c r="I233" s="32" t="s">
        <v>38</v>
      </c>
    </row>
    <row r="234" spans="1:9" x14ac:dyDescent="0.25">
      <c r="A234" s="28" t="s">
        <v>5</v>
      </c>
      <c r="B234" s="29">
        <v>46252</v>
      </c>
      <c r="C234" s="29">
        <v>46282</v>
      </c>
      <c r="D234" s="29">
        <v>46315</v>
      </c>
      <c r="E234" s="28" t="s">
        <v>505</v>
      </c>
      <c r="F234" s="28" t="s">
        <v>506</v>
      </c>
      <c r="G234" s="30">
        <v>17</v>
      </c>
      <c r="H234" s="30" t="s">
        <v>507</v>
      </c>
      <c r="I234" s="32" t="s">
        <v>40</v>
      </c>
    </row>
    <row r="235" spans="1:9" x14ac:dyDescent="0.25">
      <c r="A235" s="28" t="s">
        <v>5</v>
      </c>
      <c r="B235" s="29">
        <v>46252</v>
      </c>
      <c r="C235" s="29">
        <v>46282</v>
      </c>
      <c r="D235" s="29">
        <v>46315</v>
      </c>
      <c r="E235" s="28" t="s">
        <v>508</v>
      </c>
      <c r="F235" s="28" t="s">
        <v>506</v>
      </c>
      <c r="G235" s="30">
        <v>2</v>
      </c>
      <c r="H235" s="30" t="s">
        <v>509</v>
      </c>
      <c r="I235" s="32" t="s">
        <v>40</v>
      </c>
    </row>
    <row r="236" spans="1:9" x14ac:dyDescent="0.25">
      <c r="A236" s="28" t="s">
        <v>5</v>
      </c>
      <c r="B236" s="29">
        <v>46252</v>
      </c>
      <c r="C236" s="29">
        <v>46282</v>
      </c>
      <c r="D236" s="29">
        <v>46315</v>
      </c>
      <c r="E236" s="28" t="s">
        <v>510</v>
      </c>
      <c r="F236" s="28" t="s">
        <v>506</v>
      </c>
      <c r="G236" s="30">
        <v>3</v>
      </c>
      <c r="H236" s="30" t="s">
        <v>511</v>
      </c>
      <c r="I236" s="32" t="s">
        <v>40</v>
      </c>
    </row>
    <row r="237" spans="1:9" x14ac:dyDescent="0.25">
      <c r="A237" s="28" t="s">
        <v>5</v>
      </c>
      <c r="B237" s="29">
        <v>46252</v>
      </c>
      <c r="C237" s="29">
        <v>46282</v>
      </c>
      <c r="D237" s="29">
        <v>46315</v>
      </c>
      <c r="E237" s="28" t="s">
        <v>512</v>
      </c>
      <c r="F237" s="28" t="s">
        <v>506</v>
      </c>
      <c r="G237" s="30">
        <v>1</v>
      </c>
      <c r="H237" s="30" t="s">
        <v>513</v>
      </c>
      <c r="I237" s="32" t="s">
        <v>40</v>
      </c>
    </row>
    <row r="238" spans="1:9" x14ac:dyDescent="0.25">
      <c r="A238" s="28" t="s">
        <v>5</v>
      </c>
      <c r="B238" s="29">
        <v>46252</v>
      </c>
      <c r="C238" s="29">
        <v>46282</v>
      </c>
      <c r="D238" s="29">
        <v>46315</v>
      </c>
      <c r="E238" s="28" t="s">
        <v>514</v>
      </c>
      <c r="F238" s="28" t="s">
        <v>506</v>
      </c>
      <c r="G238" s="30">
        <v>2</v>
      </c>
      <c r="H238" s="30" t="s">
        <v>515</v>
      </c>
      <c r="I238" s="32" t="s">
        <v>40</v>
      </c>
    </row>
    <row r="239" spans="1:9" x14ac:dyDescent="0.25">
      <c r="A239" s="28" t="s">
        <v>5</v>
      </c>
      <c r="B239" s="29">
        <v>46252</v>
      </c>
      <c r="C239" s="29">
        <v>46282</v>
      </c>
      <c r="D239" s="29">
        <v>46315</v>
      </c>
      <c r="E239" s="28" t="s">
        <v>516</v>
      </c>
      <c r="F239" s="28" t="s">
        <v>506</v>
      </c>
      <c r="G239" s="30">
        <v>4</v>
      </c>
      <c r="H239" s="30" t="s">
        <v>517</v>
      </c>
      <c r="I239" s="32" t="s">
        <v>40</v>
      </c>
    </row>
    <row r="240" spans="1:9" x14ac:dyDescent="0.25">
      <c r="A240" s="28" t="s">
        <v>5</v>
      </c>
      <c r="B240" s="29">
        <v>46252</v>
      </c>
      <c r="C240" s="29">
        <v>46282</v>
      </c>
      <c r="D240" s="29">
        <v>46315</v>
      </c>
      <c r="E240" s="28" t="s">
        <v>518</v>
      </c>
      <c r="F240" s="28" t="s">
        <v>506</v>
      </c>
      <c r="G240" s="30">
        <v>2</v>
      </c>
      <c r="H240" s="30" t="s">
        <v>519</v>
      </c>
      <c r="I240" s="32" t="s">
        <v>40</v>
      </c>
    </row>
    <row r="241" spans="1:9" x14ac:dyDescent="0.25">
      <c r="A241" s="28" t="s">
        <v>5</v>
      </c>
      <c r="B241" s="29">
        <v>46252</v>
      </c>
      <c r="C241" s="29">
        <v>46282</v>
      </c>
      <c r="D241" s="29">
        <v>46315</v>
      </c>
      <c r="E241" s="28" t="s">
        <v>520</v>
      </c>
      <c r="F241" s="28" t="s">
        <v>506</v>
      </c>
      <c r="G241" s="30">
        <v>4</v>
      </c>
      <c r="H241" s="30" t="s">
        <v>521</v>
      </c>
      <c r="I241" s="32" t="s">
        <v>40</v>
      </c>
    </row>
    <row r="242" spans="1:9" x14ac:dyDescent="0.25">
      <c r="A242" s="28" t="s">
        <v>5</v>
      </c>
      <c r="B242" s="29">
        <v>46252</v>
      </c>
      <c r="C242" s="29">
        <v>46282</v>
      </c>
      <c r="D242" s="29">
        <v>46315</v>
      </c>
      <c r="E242" s="28" t="s">
        <v>522</v>
      </c>
      <c r="F242" s="28" t="s">
        <v>506</v>
      </c>
      <c r="G242" s="30">
        <v>2</v>
      </c>
      <c r="H242" s="30" t="s">
        <v>523</v>
      </c>
      <c r="I242" s="32" t="s">
        <v>40</v>
      </c>
    </row>
    <row r="243" spans="1:9" x14ac:dyDescent="0.25">
      <c r="A243" s="28" t="s">
        <v>5</v>
      </c>
      <c r="B243" s="29">
        <v>46252</v>
      </c>
      <c r="C243" s="29">
        <v>46282</v>
      </c>
      <c r="D243" s="29">
        <v>46315</v>
      </c>
      <c r="E243" s="28" t="s">
        <v>524</v>
      </c>
      <c r="F243" s="28" t="s">
        <v>506</v>
      </c>
      <c r="G243" s="30">
        <v>2</v>
      </c>
      <c r="H243" s="30" t="s">
        <v>525</v>
      </c>
      <c r="I243" s="32" t="s">
        <v>40</v>
      </c>
    </row>
    <row r="244" spans="1:9" x14ac:dyDescent="0.25">
      <c r="A244" s="28" t="s">
        <v>5</v>
      </c>
      <c r="B244" s="29">
        <v>46252</v>
      </c>
      <c r="C244" s="29">
        <v>46282</v>
      </c>
      <c r="D244" s="29">
        <v>46315</v>
      </c>
      <c r="E244" s="28" t="s">
        <v>526</v>
      </c>
      <c r="F244" s="28" t="s">
        <v>506</v>
      </c>
      <c r="G244" s="30">
        <v>1</v>
      </c>
      <c r="H244" s="30" t="s">
        <v>527</v>
      </c>
      <c r="I244" s="32" t="s">
        <v>40</v>
      </c>
    </row>
    <row r="245" spans="1:9" x14ac:dyDescent="0.25">
      <c r="A245" s="28" t="s">
        <v>5</v>
      </c>
      <c r="B245" s="29">
        <v>46252</v>
      </c>
      <c r="C245" s="29">
        <v>46282</v>
      </c>
      <c r="D245" s="29">
        <v>46315</v>
      </c>
      <c r="E245" s="28" t="s">
        <v>528</v>
      </c>
      <c r="F245" s="28" t="s">
        <v>506</v>
      </c>
      <c r="G245" s="30">
        <v>2</v>
      </c>
      <c r="H245" s="30" t="s">
        <v>529</v>
      </c>
      <c r="I245" s="32" t="s">
        <v>40</v>
      </c>
    </row>
    <row r="246" spans="1:9" x14ac:dyDescent="0.25">
      <c r="A246" s="28" t="s">
        <v>5</v>
      </c>
      <c r="B246" s="29">
        <v>46252</v>
      </c>
      <c r="C246" s="29">
        <v>46282</v>
      </c>
      <c r="D246" s="29">
        <v>46315</v>
      </c>
      <c r="E246" s="28" t="s">
        <v>530</v>
      </c>
      <c r="F246" s="28" t="s">
        <v>506</v>
      </c>
      <c r="G246" s="30">
        <v>1</v>
      </c>
      <c r="H246" s="30" t="s">
        <v>531</v>
      </c>
      <c r="I246" s="32" t="s">
        <v>40</v>
      </c>
    </row>
    <row r="247" spans="1:9" x14ac:dyDescent="0.25">
      <c r="A247" s="28" t="s">
        <v>5</v>
      </c>
      <c r="B247" s="29">
        <v>46252</v>
      </c>
      <c r="C247" s="29">
        <v>46282</v>
      </c>
      <c r="D247" s="29">
        <v>46315</v>
      </c>
      <c r="E247" s="28" t="s">
        <v>532</v>
      </c>
      <c r="F247" s="28" t="s">
        <v>506</v>
      </c>
      <c r="G247" s="30">
        <v>1</v>
      </c>
      <c r="H247" s="30" t="s">
        <v>533</v>
      </c>
      <c r="I247" s="32" t="s">
        <v>40</v>
      </c>
    </row>
    <row r="248" spans="1:9" x14ac:dyDescent="0.25">
      <c r="A248" s="28" t="s">
        <v>5</v>
      </c>
      <c r="B248" s="29">
        <v>46252</v>
      </c>
      <c r="C248" s="29">
        <v>46282</v>
      </c>
      <c r="D248" s="29">
        <v>46315</v>
      </c>
      <c r="E248" s="28" t="s">
        <v>534</v>
      </c>
      <c r="F248" s="28" t="s">
        <v>506</v>
      </c>
      <c r="G248" s="30">
        <v>1</v>
      </c>
      <c r="H248" s="30" t="s">
        <v>535</v>
      </c>
      <c r="I248" s="32" t="s">
        <v>40</v>
      </c>
    </row>
    <row r="249" spans="1:9" x14ac:dyDescent="0.25">
      <c r="A249" s="28" t="s">
        <v>5</v>
      </c>
      <c r="B249" s="29">
        <v>46252</v>
      </c>
      <c r="C249" s="29">
        <v>46282</v>
      </c>
      <c r="D249" s="29">
        <v>46315</v>
      </c>
      <c r="E249" s="28" t="s">
        <v>536</v>
      </c>
      <c r="F249" s="28" t="s">
        <v>506</v>
      </c>
      <c r="G249" s="30">
        <v>1</v>
      </c>
      <c r="H249" s="30" t="s">
        <v>537</v>
      </c>
      <c r="I249" s="32" t="s">
        <v>40</v>
      </c>
    </row>
    <row r="250" spans="1:9" x14ac:dyDescent="0.25">
      <c r="A250" s="28" t="s">
        <v>5</v>
      </c>
      <c r="B250" s="29">
        <v>46252</v>
      </c>
      <c r="C250" s="29">
        <v>46282</v>
      </c>
      <c r="D250" s="29">
        <v>46315</v>
      </c>
      <c r="E250" s="28" t="s">
        <v>538</v>
      </c>
      <c r="F250" s="28" t="s">
        <v>506</v>
      </c>
      <c r="G250" s="30">
        <v>4</v>
      </c>
      <c r="H250" s="30" t="s">
        <v>539</v>
      </c>
      <c r="I250" s="32" t="s">
        <v>40</v>
      </c>
    </row>
    <row r="251" spans="1:9" x14ac:dyDescent="0.25">
      <c r="A251" s="28" t="s">
        <v>5</v>
      </c>
      <c r="B251" s="29">
        <v>46252</v>
      </c>
      <c r="C251" s="29">
        <v>46282</v>
      </c>
      <c r="D251" s="29">
        <v>46315</v>
      </c>
      <c r="E251" s="28" t="s">
        <v>540</v>
      </c>
      <c r="F251" s="28" t="s">
        <v>506</v>
      </c>
      <c r="G251" s="30">
        <v>1</v>
      </c>
      <c r="H251" s="30" t="s">
        <v>541</v>
      </c>
      <c r="I251" s="32" t="s">
        <v>40</v>
      </c>
    </row>
    <row r="252" spans="1:9" x14ac:dyDescent="0.25">
      <c r="A252" s="28" t="s">
        <v>5</v>
      </c>
      <c r="B252" s="29">
        <v>46252</v>
      </c>
      <c r="C252" s="29">
        <v>46282</v>
      </c>
      <c r="D252" s="29">
        <v>46315</v>
      </c>
      <c r="E252" s="28" t="s">
        <v>542</v>
      </c>
      <c r="F252" s="28" t="s">
        <v>506</v>
      </c>
      <c r="G252" s="30">
        <v>1</v>
      </c>
      <c r="H252" s="30" t="s">
        <v>543</v>
      </c>
      <c r="I252" s="32" t="s">
        <v>40</v>
      </c>
    </row>
    <row r="253" spans="1:9" x14ac:dyDescent="0.25">
      <c r="A253" s="28" t="s">
        <v>5</v>
      </c>
      <c r="B253" s="29">
        <v>46252</v>
      </c>
      <c r="C253" s="29">
        <v>46282</v>
      </c>
      <c r="D253" s="29">
        <v>46315</v>
      </c>
      <c r="E253" s="28" t="s">
        <v>544</v>
      </c>
      <c r="F253" s="28" t="s">
        <v>506</v>
      </c>
      <c r="G253" s="30">
        <v>2</v>
      </c>
      <c r="H253" s="30" t="s">
        <v>545</v>
      </c>
      <c r="I253" s="32" t="s">
        <v>40</v>
      </c>
    </row>
    <row r="254" spans="1:9" x14ac:dyDescent="0.25">
      <c r="A254" s="28" t="s">
        <v>5</v>
      </c>
      <c r="B254" s="29">
        <v>46252</v>
      </c>
      <c r="C254" s="29">
        <v>46282</v>
      </c>
      <c r="D254" s="29">
        <v>46315</v>
      </c>
      <c r="E254" s="28" t="s">
        <v>546</v>
      </c>
      <c r="F254" s="28" t="s">
        <v>506</v>
      </c>
      <c r="G254" s="30">
        <v>1</v>
      </c>
      <c r="H254" s="30" t="s">
        <v>547</v>
      </c>
      <c r="I254" s="32" t="s">
        <v>40</v>
      </c>
    </row>
    <row r="255" spans="1:9" x14ac:dyDescent="0.25">
      <c r="A255" s="28" t="s">
        <v>5</v>
      </c>
      <c r="B255" s="29">
        <v>46252</v>
      </c>
      <c r="C255" s="29">
        <v>46282</v>
      </c>
      <c r="D255" s="29">
        <v>46315</v>
      </c>
      <c r="E255" s="28" t="s">
        <v>548</v>
      </c>
      <c r="F255" s="28" t="s">
        <v>506</v>
      </c>
      <c r="G255" s="30">
        <v>1</v>
      </c>
      <c r="H255" s="30" t="s">
        <v>549</v>
      </c>
      <c r="I255" s="32" t="s">
        <v>40</v>
      </c>
    </row>
    <row r="256" spans="1:9" x14ac:dyDescent="0.25">
      <c r="A256" s="28" t="s">
        <v>5</v>
      </c>
      <c r="B256" s="29">
        <v>46252</v>
      </c>
      <c r="C256" s="29">
        <v>46282</v>
      </c>
      <c r="D256" s="29">
        <v>46315</v>
      </c>
      <c r="E256" s="28" t="s">
        <v>550</v>
      </c>
      <c r="F256" s="28" t="s">
        <v>506</v>
      </c>
      <c r="G256" s="30">
        <v>1</v>
      </c>
      <c r="H256" s="30" t="s">
        <v>551</v>
      </c>
      <c r="I256" s="32" t="s">
        <v>40</v>
      </c>
    </row>
    <row r="257" spans="1:9" x14ac:dyDescent="0.25">
      <c r="A257" s="28" t="s">
        <v>5</v>
      </c>
      <c r="B257" s="29">
        <v>46252</v>
      </c>
      <c r="C257" s="29">
        <v>46282</v>
      </c>
      <c r="D257" s="29">
        <v>46315</v>
      </c>
      <c r="E257" s="28" t="s">
        <v>552</v>
      </c>
      <c r="F257" s="28" t="s">
        <v>506</v>
      </c>
      <c r="G257" s="30">
        <v>3</v>
      </c>
      <c r="H257" s="30" t="s">
        <v>553</v>
      </c>
      <c r="I257" s="32" t="s">
        <v>40</v>
      </c>
    </row>
    <row r="258" spans="1:9" x14ac:dyDescent="0.25">
      <c r="A258" s="28" t="s">
        <v>5</v>
      </c>
      <c r="B258" s="29">
        <v>46252</v>
      </c>
      <c r="C258" s="29">
        <v>46282</v>
      </c>
      <c r="D258" s="29">
        <v>46315</v>
      </c>
      <c r="E258" s="28" t="s">
        <v>554</v>
      </c>
      <c r="F258" s="28" t="s">
        <v>506</v>
      </c>
      <c r="G258" s="30">
        <v>1</v>
      </c>
      <c r="H258" s="30" t="s">
        <v>555</v>
      </c>
      <c r="I258" s="32" t="s">
        <v>40</v>
      </c>
    </row>
    <row r="259" spans="1:9" x14ac:dyDescent="0.25">
      <c r="A259" s="28" t="s">
        <v>5</v>
      </c>
      <c r="B259" s="29">
        <v>46252</v>
      </c>
      <c r="C259" s="29">
        <v>46282</v>
      </c>
      <c r="D259" s="29">
        <v>46315</v>
      </c>
      <c r="E259" s="28" t="s">
        <v>556</v>
      </c>
      <c r="F259" s="28" t="s">
        <v>506</v>
      </c>
      <c r="G259" s="30">
        <v>2</v>
      </c>
      <c r="H259" s="30" t="s">
        <v>557</v>
      </c>
      <c r="I259" s="32" t="s">
        <v>40</v>
      </c>
    </row>
    <row r="260" spans="1:9" x14ac:dyDescent="0.25">
      <c r="A260" s="28" t="s">
        <v>326</v>
      </c>
      <c r="B260" s="29">
        <v>46252</v>
      </c>
      <c r="C260" s="29">
        <v>46282</v>
      </c>
      <c r="D260" s="29">
        <v>46315</v>
      </c>
      <c r="E260" s="28" t="s">
        <v>558</v>
      </c>
      <c r="F260" s="28" t="s">
        <v>506</v>
      </c>
      <c r="G260" s="30">
        <v>2</v>
      </c>
      <c r="H260" s="30" t="s">
        <v>559</v>
      </c>
      <c r="I260" s="32" t="s">
        <v>40</v>
      </c>
    </row>
    <row r="261" spans="1:9" x14ac:dyDescent="0.25">
      <c r="A261" s="28" t="s">
        <v>326</v>
      </c>
      <c r="B261" s="29">
        <v>46252</v>
      </c>
      <c r="C261" s="29">
        <v>46282</v>
      </c>
      <c r="D261" s="29">
        <v>46315</v>
      </c>
      <c r="E261" s="28" t="s">
        <v>560</v>
      </c>
      <c r="F261" s="28" t="s">
        <v>506</v>
      </c>
      <c r="G261" s="30">
        <v>2</v>
      </c>
      <c r="H261" s="30" t="s">
        <v>561</v>
      </c>
      <c r="I261" s="32" t="s">
        <v>40</v>
      </c>
    </row>
    <row r="262" spans="1:9" x14ac:dyDescent="0.25">
      <c r="A262" s="28" t="s">
        <v>326</v>
      </c>
      <c r="B262" s="29">
        <v>46252</v>
      </c>
      <c r="C262" s="29">
        <v>46282</v>
      </c>
      <c r="D262" s="29">
        <v>46315</v>
      </c>
      <c r="E262" s="28" t="s">
        <v>562</v>
      </c>
      <c r="F262" s="28" t="s">
        <v>506</v>
      </c>
      <c r="G262" s="30">
        <v>1</v>
      </c>
      <c r="H262" s="30" t="s">
        <v>563</v>
      </c>
      <c r="I262" s="32" t="s">
        <v>40</v>
      </c>
    </row>
    <row r="263" spans="1:9" x14ac:dyDescent="0.25">
      <c r="A263" s="28" t="s">
        <v>138</v>
      </c>
      <c r="B263" s="29">
        <v>46282</v>
      </c>
      <c r="C263" s="29">
        <v>46282</v>
      </c>
      <c r="D263" s="29">
        <v>46374</v>
      </c>
      <c r="E263" s="28" t="s">
        <v>564</v>
      </c>
      <c r="F263" s="28" t="s">
        <v>52</v>
      </c>
      <c r="G263" s="30">
        <v>200</v>
      </c>
      <c r="H263" s="30" t="s">
        <v>565</v>
      </c>
      <c r="I263" s="32" t="s">
        <v>34</v>
      </c>
    </row>
    <row r="264" spans="1:9" x14ac:dyDescent="0.25">
      <c r="A264" s="28" t="s">
        <v>76</v>
      </c>
      <c r="B264" s="29">
        <v>46282</v>
      </c>
      <c r="C264" s="29">
        <v>46283</v>
      </c>
      <c r="D264" s="29">
        <v>46346</v>
      </c>
      <c r="E264" s="28" t="s">
        <v>566</v>
      </c>
      <c r="F264" s="28" t="s">
        <v>6</v>
      </c>
      <c r="G264" s="30">
        <v>4</v>
      </c>
      <c r="H264" s="30" t="s">
        <v>567</v>
      </c>
      <c r="I264" s="32" t="s">
        <v>36</v>
      </c>
    </row>
    <row r="265" spans="1:9" x14ac:dyDescent="0.25">
      <c r="A265" s="28" t="s">
        <v>76</v>
      </c>
      <c r="B265" s="29">
        <v>46282</v>
      </c>
      <c r="C265" s="29">
        <v>46283</v>
      </c>
      <c r="D265" s="29">
        <v>46346</v>
      </c>
      <c r="E265" s="28" t="s">
        <v>568</v>
      </c>
      <c r="F265" s="28" t="s">
        <v>6</v>
      </c>
      <c r="G265" s="30">
        <v>46</v>
      </c>
      <c r="H265" s="30" t="s">
        <v>569</v>
      </c>
      <c r="I265" s="32" t="s">
        <v>36</v>
      </c>
    </row>
    <row r="266" spans="1:9" x14ac:dyDescent="0.25">
      <c r="A266" s="28" t="s">
        <v>103</v>
      </c>
      <c r="B266" s="29">
        <v>46283</v>
      </c>
      <c r="C266" s="29">
        <v>46283</v>
      </c>
      <c r="D266" s="29">
        <v>46295</v>
      </c>
      <c r="E266" s="28" t="s">
        <v>163</v>
      </c>
      <c r="F266" s="28" t="s">
        <v>6</v>
      </c>
      <c r="G266" s="30">
        <v>22</v>
      </c>
      <c r="H266" s="30" t="s">
        <v>570</v>
      </c>
      <c r="I266" s="32" t="s">
        <v>34</v>
      </c>
    </row>
    <row r="267" spans="1:9" x14ac:dyDescent="0.25">
      <c r="A267" s="28" t="s">
        <v>103</v>
      </c>
      <c r="B267" s="29">
        <v>46283</v>
      </c>
      <c r="C267" s="29">
        <v>46283</v>
      </c>
      <c r="D267" s="29">
        <v>46295</v>
      </c>
      <c r="E267" s="28" t="s">
        <v>571</v>
      </c>
      <c r="F267" s="28" t="s">
        <v>6</v>
      </c>
      <c r="G267" s="30">
        <v>5</v>
      </c>
      <c r="H267" s="30" t="s">
        <v>166</v>
      </c>
      <c r="I267" s="32" t="s">
        <v>34</v>
      </c>
    </row>
    <row r="268" spans="1:9" x14ac:dyDescent="0.25">
      <c r="A268" s="28" t="s">
        <v>103</v>
      </c>
      <c r="B268" s="29">
        <v>46283</v>
      </c>
      <c r="C268" s="29">
        <v>46283</v>
      </c>
      <c r="D268" s="29">
        <v>46295</v>
      </c>
      <c r="E268" s="28" t="s">
        <v>572</v>
      </c>
      <c r="F268" s="28" t="s">
        <v>6</v>
      </c>
      <c r="G268" s="30">
        <v>1</v>
      </c>
      <c r="H268" s="30" t="s">
        <v>168</v>
      </c>
      <c r="I268" s="32" t="s">
        <v>34</v>
      </c>
    </row>
    <row r="269" spans="1:9" x14ac:dyDescent="0.25">
      <c r="A269" s="28" t="s">
        <v>103</v>
      </c>
      <c r="B269" s="29">
        <v>46283</v>
      </c>
      <c r="C269" s="29">
        <v>46283</v>
      </c>
      <c r="D269" s="29">
        <v>46295</v>
      </c>
      <c r="E269" s="28" t="s">
        <v>169</v>
      </c>
      <c r="F269" s="28" t="s">
        <v>6</v>
      </c>
      <c r="G269" s="30">
        <v>24</v>
      </c>
      <c r="H269" s="30" t="s">
        <v>170</v>
      </c>
      <c r="I269" s="32" t="s">
        <v>34</v>
      </c>
    </row>
    <row r="270" spans="1:9" x14ac:dyDescent="0.25">
      <c r="A270" s="28" t="s">
        <v>76</v>
      </c>
      <c r="B270" s="29">
        <v>46283</v>
      </c>
      <c r="C270" s="29">
        <v>46283</v>
      </c>
      <c r="D270" s="29">
        <v>46343</v>
      </c>
      <c r="E270" s="28" t="s">
        <v>573</v>
      </c>
      <c r="F270" s="28" t="s">
        <v>6</v>
      </c>
      <c r="G270" s="30">
        <v>212</v>
      </c>
      <c r="H270" s="30" t="s">
        <v>574</v>
      </c>
      <c r="I270" s="32" t="s">
        <v>43</v>
      </c>
    </row>
    <row r="271" spans="1:9" x14ac:dyDescent="0.25">
      <c r="A271" s="28" t="s">
        <v>53</v>
      </c>
      <c r="B271" s="29">
        <v>46283</v>
      </c>
      <c r="C271" s="29">
        <v>46283</v>
      </c>
      <c r="D271" s="29">
        <v>46343</v>
      </c>
      <c r="E271" s="28" t="s">
        <v>573</v>
      </c>
      <c r="F271" s="28" t="s">
        <v>6</v>
      </c>
      <c r="G271" s="30">
        <v>50</v>
      </c>
      <c r="H271" s="30" t="s">
        <v>575</v>
      </c>
      <c r="I271" s="32" t="s">
        <v>43</v>
      </c>
    </row>
    <row r="272" spans="1:9" x14ac:dyDescent="0.25">
      <c r="A272" s="28" t="s">
        <v>76</v>
      </c>
      <c r="B272" s="29">
        <v>46286</v>
      </c>
      <c r="C272" s="29">
        <v>46287</v>
      </c>
      <c r="D272" s="29">
        <v>46346</v>
      </c>
      <c r="E272" s="28" t="s">
        <v>576</v>
      </c>
      <c r="F272" s="28" t="s">
        <v>6</v>
      </c>
      <c r="G272" s="30">
        <v>1</v>
      </c>
      <c r="H272" s="30" t="s">
        <v>577</v>
      </c>
      <c r="I272" s="32" t="s">
        <v>45</v>
      </c>
    </row>
    <row r="273" spans="1:9" x14ac:dyDescent="0.25">
      <c r="A273" s="28" t="s">
        <v>76</v>
      </c>
      <c r="B273" s="29">
        <v>46286</v>
      </c>
      <c r="C273" s="29">
        <v>46287</v>
      </c>
      <c r="D273" s="29">
        <v>46346</v>
      </c>
      <c r="E273" s="28" t="s">
        <v>578</v>
      </c>
      <c r="F273" s="28" t="s">
        <v>6</v>
      </c>
      <c r="G273" s="30">
        <v>11</v>
      </c>
      <c r="H273" s="30" t="s">
        <v>579</v>
      </c>
      <c r="I273" s="32" t="s">
        <v>45</v>
      </c>
    </row>
    <row r="274" spans="1:9" x14ac:dyDescent="0.25">
      <c r="A274" s="28" t="s">
        <v>76</v>
      </c>
      <c r="B274" s="29">
        <v>46286</v>
      </c>
      <c r="C274" s="29">
        <v>46287</v>
      </c>
      <c r="D274" s="29">
        <v>46346</v>
      </c>
      <c r="E274" s="28" t="s">
        <v>580</v>
      </c>
      <c r="F274" s="28" t="s">
        <v>6</v>
      </c>
      <c r="G274" s="30">
        <v>22</v>
      </c>
      <c r="H274" s="30" t="s">
        <v>581</v>
      </c>
      <c r="I274" s="32" t="s">
        <v>45</v>
      </c>
    </row>
    <row r="275" spans="1:9" x14ac:dyDescent="0.25">
      <c r="A275" s="28" t="s">
        <v>5</v>
      </c>
      <c r="B275" s="29">
        <v>46286</v>
      </c>
      <c r="C275" s="29">
        <v>46287</v>
      </c>
      <c r="D275" s="29">
        <v>46346</v>
      </c>
      <c r="E275" s="28" t="s">
        <v>580</v>
      </c>
      <c r="F275" s="28" t="s">
        <v>6</v>
      </c>
      <c r="G275" s="30">
        <v>1</v>
      </c>
      <c r="H275" s="30" t="s">
        <v>582</v>
      </c>
      <c r="I275" s="32" t="s">
        <v>45</v>
      </c>
    </row>
    <row r="276" spans="1:9" x14ac:dyDescent="0.25">
      <c r="A276" s="28" t="s">
        <v>5</v>
      </c>
      <c r="B276" s="29">
        <v>46286</v>
      </c>
      <c r="C276" s="29">
        <v>46287</v>
      </c>
      <c r="D276" s="29">
        <v>46346</v>
      </c>
      <c r="E276" s="28" t="s">
        <v>583</v>
      </c>
      <c r="F276" s="28" t="s">
        <v>6</v>
      </c>
      <c r="G276" s="30">
        <v>2</v>
      </c>
      <c r="H276" s="30" t="s">
        <v>584</v>
      </c>
      <c r="I276" s="32" t="s">
        <v>45</v>
      </c>
    </row>
    <row r="277" spans="1:9" x14ac:dyDescent="0.25">
      <c r="A277" s="28" t="s">
        <v>5</v>
      </c>
      <c r="B277" s="29">
        <v>46286</v>
      </c>
      <c r="C277" s="29">
        <v>46287</v>
      </c>
      <c r="D277" s="29">
        <v>46346</v>
      </c>
      <c r="E277" s="28" t="s">
        <v>585</v>
      </c>
      <c r="F277" s="28" t="s">
        <v>6</v>
      </c>
      <c r="G277" s="30">
        <v>1</v>
      </c>
      <c r="H277" s="30" t="s">
        <v>586</v>
      </c>
      <c r="I277" s="32" t="s">
        <v>45</v>
      </c>
    </row>
    <row r="278" spans="1:9" x14ac:dyDescent="0.25">
      <c r="A278" s="28" t="s">
        <v>5</v>
      </c>
      <c r="B278" s="29">
        <v>46286</v>
      </c>
      <c r="C278" s="29">
        <v>46287</v>
      </c>
      <c r="D278" s="29">
        <v>46346</v>
      </c>
      <c r="E278" s="28" t="s">
        <v>587</v>
      </c>
      <c r="F278" s="28" t="s">
        <v>6</v>
      </c>
      <c r="G278" s="30">
        <v>3</v>
      </c>
      <c r="H278" s="30" t="s">
        <v>588</v>
      </c>
      <c r="I278" s="32" t="s">
        <v>45</v>
      </c>
    </row>
    <row r="279" spans="1:9" x14ac:dyDescent="0.25">
      <c r="A279" s="28" t="s">
        <v>5</v>
      </c>
      <c r="B279" s="29">
        <v>46286</v>
      </c>
      <c r="C279" s="29">
        <v>46287</v>
      </c>
      <c r="D279" s="29">
        <v>46346</v>
      </c>
      <c r="E279" s="28" t="s">
        <v>589</v>
      </c>
      <c r="F279" s="28" t="s">
        <v>6</v>
      </c>
      <c r="G279" s="30">
        <v>20</v>
      </c>
      <c r="H279" s="30" t="s">
        <v>590</v>
      </c>
      <c r="I279" s="32" t="s">
        <v>45</v>
      </c>
    </row>
    <row r="280" spans="1:9" x14ac:dyDescent="0.25">
      <c r="A280" s="28" t="s">
        <v>53</v>
      </c>
      <c r="B280" s="29">
        <v>46286</v>
      </c>
      <c r="C280" s="29">
        <v>46287</v>
      </c>
      <c r="D280" s="29">
        <v>46346</v>
      </c>
      <c r="E280" s="28" t="s">
        <v>580</v>
      </c>
      <c r="F280" s="28" t="s">
        <v>6</v>
      </c>
      <c r="G280" s="30">
        <v>2</v>
      </c>
      <c r="H280" s="30" t="s">
        <v>591</v>
      </c>
      <c r="I280" s="32" t="s">
        <v>45</v>
      </c>
    </row>
    <row r="281" spans="1:9" x14ac:dyDescent="0.25">
      <c r="A281" s="28" t="s">
        <v>189</v>
      </c>
      <c r="B281" s="29">
        <v>46286</v>
      </c>
      <c r="C281" s="29">
        <v>46287</v>
      </c>
      <c r="D281" s="29">
        <v>46346</v>
      </c>
      <c r="E281" s="28" t="s">
        <v>592</v>
      </c>
      <c r="F281" s="28" t="s">
        <v>6</v>
      </c>
      <c r="G281" s="30">
        <v>2</v>
      </c>
      <c r="H281" s="30" t="s">
        <v>593</v>
      </c>
      <c r="I281" s="32" t="s">
        <v>45</v>
      </c>
    </row>
    <row r="282" spans="1:9" x14ac:dyDescent="0.25">
      <c r="A282" s="28" t="s">
        <v>189</v>
      </c>
      <c r="B282" s="29">
        <v>46286</v>
      </c>
      <c r="C282" s="29">
        <v>46287</v>
      </c>
      <c r="D282" s="29">
        <v>46346</v>
      </c>
      <c r="E282" s="28" t="s">
        <v>594</v>
      </c>
      <c r="F282" s="28" t="s">
        <v>6</v>
      </c>
      <c r="G282" s="30">
        <v>4</v>
      </c>
      <c r="H282" s="30" t="s">
        <v>595</v>
      </c>
      <c r="I282" s="32" t="s">
        <v>45</v>
      </c>
    </row>
    <row r="283" spans="1:9" x14ac:dyDescent="0.25">
      <c r="A283" s="28" t="s">
        <v>56</v>
      </c>
      <c r="B283" s="29">
        <v>46286</v>
      </c>
      <c r="C283" s="29">
        <v>46287</v>
      </c>
      <c r="D283" s="29">
        <v>46346</v>
      </c>
      <c r="E283" s="28" t="s">
        <v>580</v>
      </c>
      <c r="F283" s="28" t="s">
        <v>6</v>
      </c>
      <c r="G283" s="30">
        <v>2</v>
      </c>
      <c r="H283" s="30" t="s">
        <v>596</v>
      </c>
      <c r="I283" s="32" t="s">
        <v>45</v>
      </c>
    </row>
    <row r="284" spans="1:9" x14ac:dyDescent="0.25">
      <c r="A284" s="28" t="s">
        <v>56</v>
      </c>
      <c r="B284" s="29">
        <v>46286</v>
      </c>
      <c r="C284" s="29">
        <v>46287</v>
      </c>
      <c r="D284" s="29">
        <v>46346</v>
      </c>
      <c r="E284" s="28" t="s">
        <v>580</v>
      </c>
      <c r="F284" s="28" t="s">
        <v>6</v>
      </c>
      <c r="G284" s="30">
        <v>1</v>
      </c>
      <c r="H284" s="30" t="s">
        <v>597</v>
      </c>
      <c r="I284" s="32" t="s">
        <v>45</v>
      </c>
    </row>
    <row r="285" spans="1:9" x14ac:dyDescent="0.25">
      <c r="A285" s="28" t="s">
        <v>207</v>
      </c>
      <c r="B285" s="29">
        <v>46286</v>
      </c>
      <c r="C285" s="29">
        <v>46287</v>
      </c>
      <c r="D285" s="29">
        <v>46346</v>
      </c>
      <c r="E285" s="28" t="s">
        <v>598</v>
      </c>
      <c r="F285" s="28" t="s">
        <v>6</v>
      </c>
      <c r="G285" s="30">
        <v>1</v>
      </c>
      <c r="H285" s="30" t="s">
        <v>599</v>
      </c>
      <c r="I285" s="32" t="s">
        <v>45</v>
      </c>
    </row>
    <row r="286" spans="1:9" x14ac:dyDescent="0.25">
      <c r="A286" s="28" t="s">
        <v>207</v>
      </c>
      <c r="B286" s="29">
        <v>46286</v>
      </c>
      <c r="C286" s="29">
        <v>46287</v>
      </c>
      <c r="D286" s="29">
        <v>46346</v>
      </c>
      <c r="E286" s="28" t="s">
        <v>600</v>
      </c>
      <c r="F286" s="28" t="s">
        <v>6</v>
      </c>
      <c r="G286" s="30">
        <v>2</v>
      </c>
      <c r="H286" s="30" t="s">
        <v>601</v>
      </c>
      <c r="I286" s="32" t="s">
        <v>45</v>
      </c>
    </row>
    <row r="287" spans="1:9" x14ac:dyDescent="0.25">
      <c r="A287" s="28" t="s">
        <v>207</v>
      </c>
      <c r="B287" s="29">
        <v>46286</v>
      </c>
      <c r="C287" s="29">
        <v>46287</v>
      </c>
      <c r="D287" s="29">
        <v>46346</v>
      </c>
      <c r="E287" s="28" t="s">
        <v>602</v>
      </c>
      <c r="F287" s="28" t="s">
        <v>6</v>
      </c>
      <c r="G287" s="30">
        <v>72</v>
      </c>
      <c r="H287" s="30" t="s">
        <v>603</v>
      </c>
      <c r="I287" s="32" t="s">
        <v>45</v>
      </c>
    </row>
    <row r="288" spans="1:9" x14ac:dyDescent="0.25">
      <c r="A288" s="28" t="s">
        <v>5</v>
      </c>
      <c r="B288" s="29">
        <v>46287</v>
      </c>
      <c r="C288" s="29">
        <v>46287</v>
      </c>
      <c r="D288" s="29">
        <v>46353</v>
      </c>
      <c r="E288" s="28" t="s">
        <v>391</v>
      </c>
      <c r="F288" s="28" t="s">
        <v>6</v>
      </c>
      <c r="G288" s="30">
        <v>1</v>
      </c>
      <c r="H288" s="30" t="s">
        <v>604</v>
      </c>
      <c r="I288" s="32" t="s">
        <v>41</v>
      </c>
    </row>
    <row r="289" spans="1:9" x14ac:dyDescent="0.25">
      <c r="A289" s="28" t="s">
        <v>5</v>
      </c>
      <c r="B289" s="29">
        <v>46288</v>
      </c>
      <c r="C289" s="29">
        <v>46288</v>
      </c>
      <c r="D289" s="29">
        <v>46347</v>
      </c>
      <c r="E289" s="28" t="s">
        <v>605</v>
      </c>
      <c r="F289" s="28" t="s">
        <v>52</v>
      </c>
      <c r="G289" s="30">
        <v>106</v>
      </c>
      <c r="H289" s="30" t="s">
        <v>606</v>
      </c>
      <c r="I289" s="32" t="s">
        <v>37</v>
      </c>
    </row>
    <row r="290" spans="1:9" x14ac:dyDescent="0.25">
      <c r="A290" s="28" t="s">
        <v>5</v>
      </c>
      <c r="B290" s="29">
        <v>46280</v>
      </c>
      <c r="C290" s="29">
        <v>46288</v>
      </c>
      <c r="D290" s="29">
        <v>46340</v>
      </c>
      <c r="E290" s="28" t="s">
        <v>607</v>
      </c>
      <c r="F290" s="28" t="s">
        <v>6</v>
      </c>
      <c r="G290" s="30">
        <v>24</v>
      </c>
      <c r="H290" s="30" t="s">
        <v>608</v>
      </c>
      <c r="I290" s="32" t="s">
        <v>46</v>
      </c>
    </row>
    <row r="291" spans="1:9" x14ac:dyDescent="0.25">
      <c r="A291" s="28" t="s">
        <v>5</v>
      </c>
      <c r="B291" s="29">
        <v>46280</v>
      </c>
      <c r="C291" s="29">
        <v>46288</v>
      </c>
      <c r="D291" s="29">
        <v>46340</v>
      </c>
      <c r="E291" s="28" t="s">
        <v>609</v>
      </c>
      <c r="F291" s="28" t="s">
        <v>6</v>
      </c>
      <c r="G291" s="30">
        <v>29</v>
      </c>
      <c r="H291" s="30" t="s">
        <v>610</v>
      </c>
      <c r="I291" s="32" t="s">
        <v>46</v>
      </c>
    </row>
    <row r="292" spans="1:9" x14ac:dyDescent="0.25">
      <c r="A292" s="28" t="s">
        <v>5</v>
      </c>
      <c r="B292" s="29">
        <v>46280</v>
      </c>
      <c r="C292" s="29">
        <v>46288</v>
      </c>
      <c r="D292" s="29">
        <v>46340</v>
      </c>
      <c r="E292" s="28" t="s">
        <v>611</v>
      </c>
      <c r="F292" s="28" t="s">
        <v>6</v>
      </c>
      <c r="G292" s="30">
        <v>3</v>
      </c>
      <c r="H292" s="30" t="s">
        <v>612</v>
      </c>
      <c r="I292" s="32" t="s">
        <v>46</v>
      </c>
    </row>
    <row r="293" spans="1:9" x14ac:dyDescent="0.25">
      <c r="A293" s="28" t="s">
        <v>5</v>
      </c>
      <c r="B293" s="29">
        <v>46280</v>
      </c>
      <c r="C293" s="29">
        <v>46288</v>
      </c>
      <c r="D293" s="29">
        <v>46340</v>
      </c>
      <c r="E293" s="28" t="s">
        <v>613</v>
      </c>
      <c r="F293" s="28" t="s">
        <v>6</v>
      </c>
      <c r="G293" s="30">
        <v>1</v>
      </c>
      <c r="H293" s="30" t="s">
        <v>614</v>
      </c>
      <c r="I293" s="32" t="s">
        <v>46</v>
      </c>
    </row>
    <row r="294" spans="1:9" x14ac:dyDescent="0.25">
      <c r="A294" s="28" t="s">
        <v>180</v>
      </c>
      <c r="B294" s="29">
        <v>46288</v>
      </c>
      <c r="C294" s="29">
        <v>46289</v>
      </c>
      <c r="D294" s="29">
        <v>46348</v>
      </c>
      <c r="E294" s="28" t="s">
        <v>616</v>
      </c>
      <c r="F294" s="28" t="s">
        <v>101</v>
      </c>
      <c r="G294" s="30">
        <v>53</v>
      </c>
      <c r="H294" s="30" t="s">
        <v>617</v>
      </c>
      <c r="I294" s="32" t="s">
        <v>31</v>
      </c>
    </row>
    <row r="295" spans="1:9" x14ac:dyDescent="0.25">
      <c r="A295" s="28" t="s">
        <v>180</v>
      </c>
      <c r="B295" s="29">
        <v>46289</v>
      </c>
      <c r="C295" s="29">
        <v>46289</v>
      </c>
      <c r="D295" s="29">
        <v>46345</v>
      </c>
      <c r="E295" s="28" t="s">
        <v>618</v>
      </c>
      <c r="F295" s="28" t="s">
        <v>101</v>
      </c>
      <c r="G295" s="30">
        <v>426</v>
      </c>
      <c r="H295" s="30" t="s">
        <v>619</v>
      </c>
      <c r="I295" s="32" t="s">
        <v>34</v>
      </c>
    </row>
    <row r="296" spans="1:9" x14ac:dyDescent="0.25">
      <c r="A296" s="28" t="s">
        <v>326</v>
      </c>
      <c r="B296" s="29">
        <v>46288</v>
      </c>
      <c r="C296" s="29">
        <v>46289</v>
      </c>
      <c r="D296" s="29">
        <v>46348</v>
      </c>
      <c r="E296" s="28" t="s">
        <v>620</v>
      </c>
      <c r="F296" s="28" t="s">
        <v>101</v>
      </c>
      <c r="G296" s="30">
        <v>4</v>
      </c>
      <c r="H296" s="30" t="s">
        <v>621</v>
      </c>
      <c r="I296" s="32" t="s">
        <v>31</v>
      </c>
    </row>
    <row r="297" spans="1:9" x14ac:dyDescent="0.25">
      <c r="A297" s="28" t="s">
        <v>5</v>
      </c>
      <c r="B297" s="29">
        <v>46288</v>
      </c>
      <c r="C297" s="29">
        <v>46289</v>
      </c>
      <c r="D297" s="29">
        <v>46350</v>
      </c>
      <c r="E297" s="28" t="s">
        <v>622</v>
      </c>
      <c r="F297" s="28" t="s">
        <v>6</v>
      </c>
      <c r="G297" s="30">
        <v>73</v>
      </c>
      <c r="H297" s="30" t="s">
        <v>623</v>
      </c>
      <c r="I297" s="32" t="s">
        <v>45</v>
      </c>
    </row>
    <row r="298" spans="1:9" x14ac:dyDescent="0.25">
      <c r="A298" s="28" t="s">
        <v>54</v>
      </c>
      <c r="B298" s="29">
        <v>46287</v>
      </c>
      <c r="C298" s="29">
        <v>46289</v>
      </c>
      <c r="D298" s="29">
        <v>46293</v>
      </c>
      <c r="E298" s="28" t="s">
        <v>624</v>
      </c>
      <c r="F298" s="28" t="s">
        <v>6</v>
      </c>
      <c r="G298" s="30">
        <v>42</v>
      </c>
      <c r="H298" s="30" t="s">
        <v>625</v>
      </c>
      <c r="I298" s="32" t="s">
        <v>45</v>
      </c>
    </row>
    <row r="299" spans="1:9" x14ac:dyDescent="0.25">
      <c r="A299" s="28" t="s">
        <v>54</v>
      </c>
      <c r="B299" s="29">
        <v>46287</v>
      </c>
      <c r="C299" s="29">
        <v>46289</v>
      </c>
      <c r="D299" s="29">
        <v>46293</v>
      </c>
      <c r="E299" s="28" t="s">
        <v>626</v>
      </c>
      <c r="F299" s="28" t="s">
        <v>6</v>
      </c>
      <c r="G299" s="30">
        <v>9</v>
      </c>
      <c r="H299" s="30" t="s">
        <v>627</v>
      </c>
      <c r="I299" s="32" t="s">
        <v>45</v>
      </c>
    </row>
    <row r="300" spans="1:9" x14ac:dyDescent="0.25">
      <c r="A300" s="28" t="s">
        <v>127</v>
      </c>
      <c r="B300" s="29">
        <v>46289</v>
      </c>
      <c r="C300" s="29">
        <v>46289</v>
      </c>
      <c r="D300" s="29">
        <v>46348</v>
      </c>
      <c r="E300" s="28" t="s">
        <v>618</v>
      </c>
      <c r="F300" s="28" t="s">
        <v>101</v>
      </c>
      <c r="G300" s="30">
        <v>90</v>
      </c>
      <c r="H300" s="30" t="s">
        <v>628</v>
      </c>
      <c r="I300" s="32" t="s">
        <v>34</v>
      </c>
    </row>
    <row r="301" spans="1:9" x14ac:dyDescent="0.25">
      <c r="A301" s="28" t="s">
        <v>180</v>
      </c>
      <c r="B301" s="29">
        <v>46287</v>
      </c>
      <c r="C301" s="29">
        <v>46290</v>
      </c>
      <c r="D301" s="29">
        <v>46345</v>
      </c>
      <c r="E301" s="28" t="s">
        <v>618</v>
      </c>
      <c r="F301" s="28" t="s">
        <v>101</v>
      </c>
      <c r="G301" s="30">
        <v>221</v>
      </c>
      <c r="H301" s="30" t="s">
        <v>619</v>
      </c>
      <c r="I301" s="32" t="s">
        <v>34</v>
      </c>
    </row>
    <row r="302" spans="1:9" x14ac:dyDescent="0.25">
      <c r="A302" s="28" t="s">
        <v>5</v>
      </c>
      <c r="B302" s="29">
        <v>46289</v>
      </c>
      <c r="C302" s="29">
        <v>46290</v>
      </c>
      <c r="D302" s="29">
        <v>46349</v>
      </c>
      <c r="E302" s="28" t="s">
        <v>629</v>
      </c>
      <c r="F302" s="28" t="s">
        <v>506</v>
      </c>
      <c r="G302" s="30">
        <v>4</v>
      </c>
      <c r="H302" s="30" t="s">
        <v>630</v>
      </c>
      <c r="I302" s="32" t="s">
        <v>39</v>
      </c>
    </row>
    <row r="303" spans="1:9" x14ac:dyDescent="0.25">
      <c r="A303" s="28" t="s">
        <v>5</v>
      </c>
      <c r="B303" s="29">
        <v>46289</v>
      </c>
      <c r="C303" s="29">
        <v>46290</v>
      </c>
      <c r="D303" s="29">
        <v>46349</v>
      </c>
      <c r="E303" s="28" t="s">
        <v>631</v>
      </c>
      <c r="F303" s="28" t="s">
        <v>506</v>
      </c>
      <c r="G303" s="30">
        <v>15</v>
      </c>
      <c r="H303" s="30" t="s">
        <v>632</v>
      </c>
      <c r="I303" s="32" t="s">
        <v>39</v>
      </c>
    </row>
    <row r="304" spans="1:9" x14ac:dyDescent="0.25">
      <c r="A304" s="28" t="s">
        <v>79</v>
      </c>
      <c r="B304" s="29">
        <v>46293</v>
      </c>
      <c r="C304" s="29">
        <v>46293</v>
      </c>
      <c r="D304" s="29">
        <v>46356</v>
      </c>
      <c r="E304" s="28" t="s">
        <v>633</v>
      </c>
      <c r="F304" s="28" t="s">
        <v>6</v>
      </c>
      <c r="G304" s="30">
        <v>1279</v>
      </c>
      <c r="H304" s="30" t="s">
        <v>634</v>
      </c>
      <c r="I304" s="32" t="s">
        <v>43</v>
      </c>
    </row>
    <row r="305" spans="1:9" x14ac:dyDescent="0.25">
      <c r="A305" s="28" t="s">
        <v>635</v>
      </c>
      <c r="B305" s="29">
        <v>46289</v>
      </c>
      <c r="C305" s="29">
        <v>46293</v>
      </c>
      <c r="D305" s="29">
        <v>46360</v>
      </c>
      <c r="E305" s="28" t="s">
        <v>636</v>
      </c>
      <c r="F305" s="28" t="s">
        <v>6</v>
      </c>
      <c r="G305" s="30">
        <v>117</v>
      </c>
      <c r="H305" s="30" t="s">
        <v>637</v>
      </c>
      <c r="I305" s="32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I3:I305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615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02114B2-B4C7-4DBF-9F73-E14E8E2095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4E8684A-C4C3-4B91-9CDE-763B0A462F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F17A57-25F4-4A94-85EE-ED09DEE3C1C6}">
  <ds:schemaRefs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82b749e3-8208-459a-bfc0-9b428d09cbab"/>
    <ds:schemaRef ds:uri="http://purl.org/dc/elements/1.1/"/>
    <ds:schemaRef ds:uri="9ac7e9dd-8d2d-4750-b54a-f534515ac3a2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2026-09-29T15:58:18Z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